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ze\Desktop\AI CFO\"/>
    </mc:Choice>
  </mc:AlternateContent>
  <xr:revisionPtr revIDLastSave="0" documentId="13_ncr:1_{6FD140F5-2E65-4301-8DFE-9834AB7134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shboard" sheetId="15" r:id="rId1"/>
    <sheet name="Assumptions" sheetId="5" r:id="rId2"/>
    <sheet name="Income Statement" sheetId="6" r:id="rId3"/>
    <sheet name="Balance Sheet" sheetId="7" r:id="rId4"/>
    <sheet name="Cash" sheetId="8" r:id="rId5"/>
    <sheet name="Unit Economics" sheetId="9" r:id="rId6"/>
    <sheet name="Leakage Audit" sheetId="11" r:id="rId7"/>
    <sheet name="AI Feed" sheetId="12" r:id="rId8"/>
    <sheet name="Prompt Library (Ai Prompts)" sheetId="13" r:id="rId9"/>
    <sheet name="Sample Output" sheetId="14" r:id="rId10"/>
  </sheets>
  <definedNames>
    <definedName name="ExternalData_1" localSheetId="6" hidden="1">'Leakage Audit'!$A$1:$F$17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7" l="1"/>
  <c r="G16" i="6"/>
  <c r="D37" i="15"/>
  <c r="C37" i="15"/>
  <c r="B37" i="15"/>
  <c r="B11" i="15"/>
  <c r="B13" i="15"/>
  <c r="B7" i="15"/>
  <c r="B6" i="15"/>
  <c r="B36" i="12"/>
  <c r="B35" i="12"/>
  <c r="B34" i="12"/>
  <c r="B33" i="12"/>
  <c r="B32" i="12"/>
  <c r="B29" i="12"/>
  <c r="B27" i="12"/>
  <c r="B28" i="12"/>
  <c r="B26" i="12"/>
  <c r="B25" i="12"/>
  <c r="B22" i="12"/>
  <c r="B21" i="12"/>
  <c r="B18" i="12"/>
  <c r="B19" i="12"/>
  <c r="B20" i="12"/>
  <c r="B17" i="12"/>
  <c r="B7" i="12"/>
  <c r="B6" i="12"/>
  <c r="B5" i="12"/>
  <c r="K4" i="11"/>
  <c r="K3" i="11"/>
  <c r="K2" i="11"/>
  <c r="G17" i="11"/>
  <c r="H17" i="11"/>
  <c r="G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H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B22" i="9"/>
  <c r="B21" i="9"/>
  <c r="B20" i="9"/>
  <c r="B16" i="9"/>
  <c r="B15" i="9"/>
  <c r="B17" i="9" s="1"/>
  <c r="B9" i="9"/>
  <c r="B10" i="9" s="1"/>
  <c r="B5" i="9"/>
  <c r="B4" i="9"/>
  <c r="B6" i="9" s="1"/>
  <c r="C21" i="8"/>
  <c r="D7" i="8"/>
  <c r="E7" i="8"/>
  <c r="D13" i="8"/>
  <c r="E13" i="8"/>
  <c r="D14" i="8"/>
  <c r="E14" i="8"/>
  <c r="D17" i="8"/>
  <c r="E17" i="8"/>
  <c r="D18" i="8"/>
  <c r="E18" i="8"/>
  <c r="C18" i="8"/>
  <c r="C17" i="8"/>
  <c r="C14" i="8"/>
  <c r="C13" i="8"/>
  <c r="C7" i="8"/>
  <c r="E17" i="7"/>
  <c r="D17" i="7"/>
  <c r="C17" i="7"/>
  <c r="B17" i="7"/>
  <c r="D13" i="7"/>
  <c r="E13" i="7"/>
  <c r="C13" i="7"/>
  <c r="E8" i="7"/>
  <c r="D8" i="7"/>
  <c r="C8" i="7"/>
  <c r="B13" i="7"/>
  <c r="B14" i="7" s="1"/>
  <c r="B8" i="7"/>
  <c r="B6" i="7"/>
  <c r="P29" i="6"/>
  <c r="O29" i="6"/>
  <c r="N29" i="6"/>
  <c r="C29" i="6"/>
  <c r="D29" i="6"/>
  <c r="E29" i="6"/>
  <c r="F29" i="6"/>
  <c r="G29" i="6"/>
  <c r="H29" i="6"/>
  <c r="I29" i="6"/>
  <c r="J29" i="6"/>
  <c r="K29" i="6"/>
  <c r="L29" i="6"/>
  <c r="M29" i="6"/>
  <c r="B29" i="6"/>
  <c r="O27" i="6"/>
  <c r="P27" i="6"/>
  <c r="N27" i="6"/>
  <c r="C27" i="6"/>
  <c r="D27" i="6"/>
  <c r="E27" i="6"/>
  <c r="F27" i="6"/>
  <c r="G27" i="6"/>
  <c r="H27" i="6"/>
  <c r="I27" i="6"/>
  <c r="J27" i="6"/>
  <c r="K27" i="6"/>
  <c r="L27" i="6"/>
  <c r="M27" i="6"/>
  <c r="B27" i="6"/>
  <c r="D24" i="6"/>
  <c r="L24" i="6"/>
  <c r="P23" i="6"/>
  <c r="O23" i="6"/>
  <c r="P22" i="6"/>
  <c r="O22" i="6"/>
  <c r="P21" i="6"/>
  <c r="O21" i="6"/>
  <c r="P19" i="6"/>
  <c r="P24" i="6" s="1"/>
  <c r="O19" i="6"/>
  <c r="O24" i="6" s="1"/>
  <c r="O20" i="6"/>
  <c r="N21" i="6"/>
  <c r="P20" i="6"/>
  <c r="N20" i="6"/>
  <c r="N22" i="6"/>
  <c r="N23" i="6"/>
  <c r="C19" i="6"/>
  <c r="C24" i="6" s="1"/>
  <c r="D19" i="6"/>
  <c r="E19" i="6"/>
  <c r="E24" i="6" s="1"/>
  <c r="F19" i="6"/>
  <c r="F24" i="6" s="1"/>
  <c r="G19" i="6"/>
  <c r="G24" i="6" s="1"/>
  <c r="H19" i="6"/>
  <c r="H24" i="6" s="1"/>
  <c r="I19" i="6"/>
  <c r="I24" i="6" s="1"/>
  <c r="J19" i="6"/>
  <c r="J24" i="6" s="1"/>
  <c r="K19" i="6"/>
  <c r="K24" i="6" s="1"/>
  <c r="L19" i="6"/>
  <c r="M19" i="6"/>
  <c r="M24" i="6" s="1"/>
  <c r="C20" i="6"/>
  <c r="D20" i="6"/>
  <c r="E20" i="6"/>
  <c r="F20" i="6"/>
  <c r="G20" i="6"/>
  <c r="H20" i="6"/>
  <c r="I20" i="6"/>
  <c r="J20" i="6"/>
  <c r="K20" i="6"/>
  <c r="L20" i="6"/>
  <c r="M20" i="6"/>
  <c r="C21" i="6"/>
  <c r="D21" i="6"/>
  <c r="E21" i="6"/>
  <c r="F21" i="6"/>
  <c r="G21" i="6"/>
  <c r="H21" i="6"/>
  <c r="I21" i="6"/>
  <c r="J21" i="6"/>
  <c r="K21" i="6"/>
  <c r="L21" i="6"/>
  <c r="M21" i="6"/>
  <c r="C22" i="6"/>
  <c r="D22" i="6"/>
  <c r="E22" i="6"/>
  <c r="F22" i="6"/>
  <c r="G22" i="6"/>
  <c r="H22" i="6"/>
  <c r="I22" i="6"/>
  <c r="J22" i="6"/>
  <c r="K22" i="6"/>
  <c r="L22" i="6"/>
  <c r="M22" i="6"/>
  <c r="C23" i="6"/>
  <c r="D23" i="6"/>
  <c r="E23" i="6"/>
  <c r="F23" i="6"/>
  <c r="G23" i="6"/>
  <c r="H23" i="6"/>
  <c r="I23" i="6"/>
  <c r="J23" i="6"/>
  <c r="K23" i="6"/>
  <c r="L23" i="6"/>
  <c r="M23" i="6"/>
  <c r="B23" i="6"/>
  <c r="B22" i="6"/>
  <c r="B21" i="6"/>
  <c r="B20" i="6"/>
  <c r="B19" i="6"/>
  <c r="N19" i="6" s="1"/>
  <c r="N24" i="6" s="1"/>
  <c r="P7" i="6"/>
  <c r="O7" i="6"/>
  <c r="N7" i="6"/>
  <c r="N6" i="6"/>
  <c r="D7" i="6"/>
  <c r="E7" i="6"/>
  <c r="F7" i="6"/>
  <c r="G7" i="6"/>
  <c r="H7" i="6"/>
  <c r="I7" i="6"/>
  <c r="J7" i="6"/>
  <c r="K7" i="6"/>
  <c r="L7" i="6"/>
  <c r="M7" i="6"/>
  <c r="B7" i="6"/>
  <c r="C7" i="6"/>
  <c r="B8" i="6"/>
  <c r="B6" i="6"/>
  <c r="B24" i="6" l="1"/>
  <c r="K5" i="11"/>
  <c r="B11" i="9"/>
  <c r="B12" i="9" s="1"/>
  <c r="B9" i="6"/>
  <c r="B10" i="6" s="1"/>
  <c r="K6" i="11" l="1"/>
  <c r="B14" i="6"/>
  <c r="B13" i="6"/>
  <c r="C6" i="6"/>
  <c r="B15" i="6" l="1"/>
  <c r="C8" i="6"/>
  <c r="B26" i="6" l="1"/>
  <c r="B28" i="6" s="1"/>
  <c r="B30" i="6" s="1"/>
  <c r="B16" i="6"/>
  <c r="C9" i="6"/>
  <c r="D6" i="6" s="1"/>
  <c r="C10" i="6"/>
  <c r="C14" i="6" l="1"/>
  <c r="C13" i="6"/>
  <c r="D8" i="6"/>
  <c r="B31" i="6"/>
  <c r="B32" i="6" s="1"/>
  <c r="B34" i="6" s="1"/>
  <c r="C15" i="6" l="1"/>
  <c r="D9" i="6"/>
  <c r="E6" i="6" l="1"/>
  <c r="D10" i="6"/>
  <c r="C26" i="6"/>
  <c r="C28" i="6" s="1"/>
  <c r="C30" i="6" s="1"/>
  <c r="C16" i="6"/>
  <c r="C31" i="6" l="1"/>
  <c r="C32" i="6" s="1"/>
  <c r="C34" i="6" s="1"/>
  <c r="D14" i="6"/>
  <c r="D13" i="6"/>
  <c r="E8" i="6"/>
  <c r="E9" i="6" s="1"/>
  <c r="F6" i="6" s="1"/>
  <c r="D15" i="6" l="1"/>
  <c r="E10" i="6"/>
  <c r="F8" i="6"/>
  <c r="F9" i="6" s="1"/>
  <c r="G6" i="6" s="1"/>
  <c r="F10" i="6" l="1"/>
  <c r="E14" i="6"/>
  <c r="E13" i="6"/>
  <c r="F14" i="6"/>
  <c r="F13" i="6"/>
  <c r="G8" i="6"/>
  <c r="G9" i="6" s="1"/>
  <c r="H6" i="6" s="1"/>
  <c r="D26" i="6"/>
  <c r="D28" i="6" s="1"/>
  <c r="D30" i="6" s="1"/>
  <c r="D16" i="6"/>
  <c r="F15" i="6" l="1"/>
  <c r="D31" i="6"/>
  <c r="D32" i="6" s="1"/>
  <c r="D34" i="6" s="1"/>
  <c r="G10" i="6"/>
  <c r="E15" i="6"/>
  <c r="F16" i="6"/>
  <c r="F26" i="6"/>
  <c r="F28" i="6" s="1"/>
  <c r="F30" i="6" s="1"/>
  <c r="H8" i="6"/>
  <c r="H9" i="6" s="1"/>
  <c r="I6" i="6" s="1"/>
  <c r="I8" i="6" l="1"/>
  <c r="I9" i="6"/>
  <c r="J6" i="6" s="1"/>
  <c r="E26" i="6"/>
  <c r="E28" i="6" s="1"/>
  <c r="E30" i="6" s="1"/>
  <c r="E16" i="6"/>
  <c r="F31" i="6"/>
  <c r="F32" i="6" s="1"/>
  <c r="F34" i="6" s="1"/>
  <c r="G13" i="6"/>
  <c r="G14" i="6"/>
  <c r="H10" i="6"/>
  <c r="I10" i="6" l="1"/>
  <c r="E31" i="6"/>
  <c r="E32" i="6" s="1"/>
  <c r="E34" i="6" s="1"/>
  <c r="I14" i="6"/>
  <c r="I13" i="6"/>
  <c r="I15" i="6" s="1"/>
  <c r="H14" i="6"/>
  <c r="H13" i="6"/>
  <c r="H15" i="6" s="1"/>
  <c r="J8" i="6"/>
  <c r="J9" i="6" s="1"/>
  <c r="K6" i="6" s="1"/>
  <c r="K8" i="6" s="1"/>
  <c r="K9" i="6" s="1"/>
  <c r="L6" i="6" s="1"/>
  <c r="J10" i="6"/>
  <c r="G15" i="6"/>
  <c r="K10" i="6" l="1"/>
  <c r="J14" i="6"/>
  <c r="J13" i="6"/>
  <c r="J15" i="6" s="1"/>
  <c r="I26" i="6"/>
  <c r="I28" i="6" s="1"/>
  <c r="I30" i="6" s="1"/>
  <c r="I16" i="6"/>
  <c r="K14" i="6"/>
  <c r="K13" i="6"/>
  <c r="K15" i="6" s="1"/>
  <c r="H26" i="6"/>
  <c r="H28" i="6" s="1"/>
  <c r="H30" i="6" s="1"/>
  <c r="H16" i="6"/>
  <c r="G26" i="6"/>
  <c r="G28" i="6" s="1"/>
  <c r="G30" i="6" s="1"/>
  <c r="L8" i="6"/>
  <c r="L9" i="6" s="1"/>
  <c r="M6" i="6" s="1"/>
  <c r="H31" i="6" l="1"/>
  <c r="H32" i="6" s="1"/>
  <c r="H34" i="6" s="1"/>
  <c r="K26" i="6"/>
  <c r="K28" i="6" s="1"/>
  <c r="K30" i="6" s="1"/>
  <c r="K16" i="6"/>
  <c r="J16" i="6"/>
  <c r="J26" i="6"/>
  <c r="J28" i="6" s="1"/>
  <c r="J30" i="6" s="1"/>
  <c r="I31" i="6"/>
  <c r="I32" i="6" s="1"/>
  <c r="I34" i="6" s="1"/>
  <c r="G31" i="6"/>
  <c r="G32" i="6" s="1"/>
  <c r="G34" i="6" s="1"/>
  <c r="M8" i="6"/>
  <c r="L10" i="6"/>
  <c r="B9" i="7"/>
  <c r="L14" i="6" l="1"/>
  <c r="L13" i="6"/>
  <c r="L15" i="6" s="1"/>
  <c r="K31" i="6"/>
  <c r="K32" i="6" s="1"/>
  <c r="K34" i="6" s="1"/>
  <c r="J31" i="6"/>
  <c r="J32" i="6" s="1"/>
  <c r="J34" i="6" s="1"/>
  <c r="M9" i="6"/>
  <c r="N8" i="6"/>
  <c r="B19" i="7"/>
  <c r="B21" i="7" s="1"/>
  <c r="M10" i="6" l="1"/>
  <c r="N9" i="6"/>
  <c r="L26" i="6"/>
  <c r="L28" i="6" s="1"/>
  <c r="L30" i="6" s="1"/>
  <c r="L16" i="6"/>
  <c r="L31" i="6" l="1"/>
  <c r="L32" i="6" s="1"/>
  <c r="L34" i="6" s="1"/>
  <c r="O6" i="6"/>
  <c r="N10" i="6"/>
  <c r="M14" i="6"/>
  <c r="N14" i="6" s="1"/>
  <c r="C12" i="7" s="1"/>
  <c r="M13" i="6"/>
  <c r="O8" i="6" l="1"/>
  <c r="O9" i="6"/>
  <c r="M15" i="6"/>
  <c r="N13" i="6"/>
  <c r="C9" i="8"/>
  <c r="C14" i="7"/>
  <c r="O10" i="6" l="1"/>
  <c r="P6" i="6"/>
  <c r="C7" i="7"/>
  <c r="C8" i="8" s="1"/>
  <c r="N15" i="6"/>
  <c r="M26" i="6"/>
  <c r="M28" i="6" s="1"/>
  <c r="M30" i="6" s="1"/>
  <c r="M16" i="6"/>
  <c r="M31" i="6" l="1"/>
  <c r="M32" i="6" s="1"/>
  <c r="M34" i="6" s="1"/>
  <c r="O14" i="6"/>
  <c r="D12" i="7" s="1"/>
  <c r="O13" i="6"/>
  <c r="P8" i="6"/>
  <c r="P9" i="6" s="1"/>
  <c r="P10" i="6" s="1"/>
  <c r="N16" i="6"/>
  <c r="N26" i="6"/>
  <c r="N28" i="6" l="1"/>
  <c r="N30" i="6" s="1"/>
  <c r="B11" i="12"/>
  <c r="N31" i="6"/>
  <c r="N32" i="6" s="1"/>
  <c r="O15" i="6"/>
  <c r="D7" i="7"/>
  <c r="D8" i="8" s="1"/>
  <c r="D9" i="8"/>
  <c r="D14" i="7"/>
  <c r="P13" i="6"/>
  <c r="P14" i="6"/>
  <c r="E12" i="7" s="1"/>
  <c r="B38" i="15" l="1"/>
  <c r="B8" i="15"/>
  <c r="B8" i="12"/>
  <c r="C18" i="7"/>
  <c r="N34" i="6"/>
  <c r="C6" i="8"/>
  <c r="C10" i="8" s="1"/>
  <c r="C20" i="8" s="1"/>
  <c r="C22" i="8" s="1"/>
  <c r="E9" i="8"/>
  <c r="E14" i="7"/>
  <c r="P15" i="6"/>
  <c r="E7" i="7"/>
  <c r="E8" i="8" s="1"/>
  <c r="O26" i="6"/>
  <c r="O28" i="6" s="1"/>
  <c r="O30" i="6" s="1"/>
  <c r="O16" i="6"/>
  <c r="B12" i="15" l="1"/>
  <c r="B13" i="12"/>
  <c r="O31" i="6"/>
  <c r="O32" i="6" s="1"/>
  <c r="C6" i="7"/>
  <c r="C9" i="7" s="1"/>
  <c r="D21" i="8"/>
  <c r="P26" i="6"/>
  <c r="P16" i="6"/>
  <c r="C19" i="7"/>
  <c r="C21" i="7" s="1"/>
  <c r="D18" i="7" l="1"/>
  <c r="C38" i="15"/>
  <c r="B9" i="12"/>
  <c r="P28" i="6"/>
  <c r="P30" i="6" s="1"/>
  <c r="P31" i="6" s="1"/>
  <c r="P32" i="6" s="1"/>
  <c r="B10" i="15"/>
  <c r="B12" i="12"/>
  <c r="C23" i="7"/>
  <c r="D19" i="7"/>
  <c r="D21" i="7" s="1"/>
  <c r="D6" i="8"/>
  <c r="D10" i="8" s="1"/>
  <c r="D20" i="8" s="1"/>
  <c r="D22" i="8" s="1"/>
  <c r="O34" i="6"/>
  <c r="B9" i="15" l="1"/>
  <c r="D38" i="15"/>
  <c r="B10" i="12"/>
  <c r="D6" i="7"/>
  <c r="D9" i="7" s="1"/>
  <c r="D23" i="7" s="1"/>
  <c r="E21" i="8"/>
  <c r="P34" i="6"/>
  <c r="E6" i="8"/>
  <c r="E10" i="8" s="1"/>
  <c r="E20" i="8" s="1"/>
  <c r="E22" i="8" s="1"/>
  <c r="E6" i="7" s="1"/>
  <c r="E9" i="7" s="1"/>
  <c r="E23" i="7" s="1"/>
  <c r="E18" i="7"/>
  <c r="E19" i="7" s="1"/>
  <c r="E21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10852C-B3EB-4A31-A7E6-84873329BC7E}" keepAlive="1" name="Query - leakage_sample_data" description="Connection to the 'leakage_sample_data' query in the workbook." type="5" refreshedVersion="8" background="1" saveData="1">
    <dbPr connection="Provider=Microsoft.Mashup.OleDb.1;Data Source=$Workbook$;Location=leakage_sample_data;Extended Properties=&quot;&quot;" command="SELECT * FROM [leakage_sample_data]"/>
  </connection>
</connections>
</file>

<file path=xl/sharedStrings.xml><?xml version="1.0" encoding="utf-8"?>
<sst xmlns="http://schemas.openxmlformats.org/spreadsheetml/2006/main" count="302" uniqueCount="209">
  <si>
    <t>Date</t>
  </si>
  <si>
    <t>Category</t>
  </si>
  <si>
    <t>Vendor</t>
  </si>
  <si>
    <t>LTV:CAC Ratio</t>
  </si>
  <si>
    <t>Monthly Churn Rate</t>
  </si>
  <si>
    <t>Starting Members</t>
  </si>
  <si>
    <t>Monthly New Members</t>
  </si>
  <si>
    <t>Avg Monthly Membership Fee</t>
  </si>
  <si>
    <t>Annual Price Increase</t>
  </si>
  <si>
    <t>Cost Drivers</t>
  </si>
  <si>
    <t>Rent(Monthly)</t>
  </si>
  <si>
    <t>Staff Wages (Monthly)</t>
  </si>
  <si>
    <t>Equipment Lease (Monthly)</t>
  </si>
  <si>
    <t>Marketing (Monthly)</t>
  </si>
  <si>
    <t>Other OpEx (Monthly)</t>
  </si>
  <si>
    <t>Days Receivable (DSO)</t>
  </si>
  <si>
    <t>Days Payable (DPO)</t>
  </si>
  <si>
    <t>Starting Cash</t>
  </si>
  <si>
    <t>Starting Debt</t>
  </si>
  <si>
    <t>Interest Rate on Debt</t>
  </si>
  <si>
    <t>Starting PP&amp;E (net)</t>
  </si>
  <si>
    <t>Annual Capex</t>
  </si>
  <si>
    <t>Depreciation</t>
  </si>
  <si>
    <t>Year 2</t>
  </si>
  <si>
    <t>Year 3</t>
  </si>
  <si>
    <t>Month</t>
  </si>
  <si>
    <t>Member Waterfall</t>
  </si>
  <si>
    <t>Beginning Members</t>
  </si>
  <si>
    <t>New Members</t>
  </si>
  <si>
    <t>Churned Members</t>
  </si>
  <si>
    <t>Ending Members</t>
  </si>
  <si>
    <t>Average Members</t>
  </si>
  <si>
    <t>Membership Revenue</t>
  </si>
  <si>
    <t>Variable Costs</t>
  </si>
  <si>
    <t>Gross Profit</t>
  </si>
  <si>
    <t>Rent</t>
  </si>
  <si>
    <t>Staff Wages</t>
  </si>
  <si>
    <t>Equipment Lease</t>
  </si>
  <si>
    <t>Marketing</t>
  </si>
  <si>
    <t>Other Opex</t>
  </si>
  <si>
    <t>Total Opex</t>
  </si>
  <si>
    <t>EBITDA</t>
  </si>
  <si>
    <t>Interest Expense</t>
  </si>
  <si>
    <t>Pre-Tax Income</t>
  </si>
  <si>
    <t>Net Income</t>
  </si>
  <si>
    <t>Multiplying Churn x 12 is a simplication</t>
  </si>
  <si>
    <t>Assumes debt stays flat at starting balance (SMB)</t>
  </si>
  <si>
    <t>Year 1</t>
  </si>
  <si>
    <t>Assets</t>
  </si>
  <si>
    <t>Cash</t>
  </si>
  <si>
    <t>Accounts Receivable</t>
  </si>
  <si>
    <t>PP&amp;E (net)</t>
  </si>
  <si>
    <t>Liabilities</t>
  </si>
  <si>
    <t>Total Liabilities</t>
  </si>
  <si>
    <t>Equity</t>
  </si>
  <si>
    <t>Contributed Capital</t>
  </si>
  <si>
    <t>Retained Earnings</t>
  </si>
  <si>
    <t>Total equity</t>
  </si>
  <si>
    <t>Total Liabilities + Equity</t>
  </si>
  <si>
    <t>Check (Assets - L&amp;E)</t>
  </si>
  <si>
    <t>Debt</t>
  </si>
  <si>
    <t>Accounts Payable</t>
  </si>
  <si>
    <t>Year 0</t>
  </si>
  <si>
    <t>Operating Activities</t>
  </si>
  <si>
    <t>(+) Depreciation</t>
  </si>
  <si>
    <t>(-) Increase in AR</t>
  </si>
  <si>
    <t>(+) Increase in AP</t>
  </si>
  <si>
    <t>Cash from Operations</t>
  </si>
  <si>
    <t>Investing Activities</t>
  </si>
  <si>
    <t>(-) Capex</t>
  </si>
  <si>
    <t>Cash from Investing</t>
  </si>
  <si>
    <t>Financing Activities</t>
  </si>
  <si>
    <t>Change in Debt</t>
  </si>
  <si>
    <t>Cash from Financing</t>
  </si>
  <si>
    <t>Net Change in Cash</t>
  </si>
  <si>
    <t>Beginning Cash</t>
  </si>
  <si>
    <t>Ending Cash</t>
  </si>
  <si>
    <t>Unit Economics</t>
  </si>
  <si>
    <t>Revenue Per Member</t>
  </si>
  <si>
    <t>Avg Monthly Fee</t>
  </si>
  <si>
    <t>Avg Member Lifespan (months)</t>
  </si>
  <si>
    <t>Lifetime Rev per Member</t>
  </si>
  <si>
    <t>Cost Per Member</t>
  </si>
  <si>
    <t>Variable Cost / Member / Month</t>
  </si>
  <si>
    <t>Lifetime Variable Cost</t>
  </si>
  <si>
    <t>Gross Profit per Member</t>
  </si>
  <si>
    <t>Monthly Marketing Spend</t>
  </si>
  <si>
    <t>CAC (Cost to Acquire)</t>
  </si>
  <si>
    <t>Monthly New members</t>
  </si>
  <si>
    <t>Key Ratios</t>
  </si>
  <si>
    <t>LTV : CAC Ratio</t>
  </si>
  <si>
    <t>CAC Payback (Months)</t>
  </si>
  <si>
    <t>Amount</t>
  </si>
  <si>
    <t>Months Active</t>
  </si>
  <si>
    <t>Flag</t>
  </si>
  <si>
    <t>Annualized Cost</t>
  </si>
  <si>
    <t>Software</t>
  </si>
  <si>
    <t>Yes</t>
  </si>
  <si>
    <t>Utilities</t>
  </si>
  <si>
    <t>Equipment</t>
  </si>
  <si>
    <t>Maintenance</t>
  </si>
  <si>
    <t>No</t>
  </si>
  <si>
    <t>Supplies</t>
  </si>
  <si>
    <t>Insurance</t>
  </si>
  <si>
    <t>Recurring</t>
  </si>
  <si>
    <t>ClassPass Software</t>
  </si>
  <si>
    <t>MindBody Booking</t>
  </si>
  <si>
    <t>Spotify Business</t>
  </si>
  <si>
    <t>City Water</t>
  </si>
  <si>
    <t>Equipment Repair</t>
  </si>
  <si>
    <t>Instagram Ads</t>
  </si>
  <si>
    <t>Google Ads</t>
  </si>
  <si>
    <t>Towel Service</t>
  </si>
  <si>
    <t>Annual Insurance</t>
  </si>
  <si>
    <t>Cleaning Crew</t>
  </si>
  <si>
    <t>Gym Software Pro</t>
  </si>
  <si>
    <t>Protein Supplier</t>
  </si>
  <si>
    <t>Facebook Ads</t>
  </si>
  <si>
    <t>Electricity</t>
  </si>
  <si>
    <t>Leakage Summary</t>
  </si>
  <si>
    <t>Total Flagged Items</t>
  </si>
  <si>
    <t>Leakage % of Spend</t>
  </si>
  <si>
    <t>AI Analysis Feed</t>
  </si>
  <si>
    <t>(This tab formats model outputs for LLM strategic review. 
 Copy A4:B40 and paste into the prompt.)</t>
  </si>
  <si>
    <t>Financial Model Summary</t>
  </si>
  <si>
    <t>Year 3 Revenue</t>
  </si>
  <si>
    <t>Year 1 Net Income</t>
  </si>
  <si>
    <t>Year 2 Net Income</t>
  </si>
  <si>
    <t>Year 3 Net Income</t>
  </si>
  <si>
    <t>Year 1 EBITDA</t>
  </si>
  <si>
    <t>Year 3 EBITDA</t>
  </si>
  <si>
    <t>Year 1 Ending Cash</t>
  </si>
  <si>
    <t>Avg Member Lifespan (mo)</t>
  </si>
  <si>
    <t>LTV (per member)</t>
  </si>
  <si>
    <t>CAC Payback (mo)</t>
  </si>
  <si>
    <t>Gross Margin per Member</t>
  </si>
  <si>
    <t>Expense Leakage Audit</t>
  </si>
  <si>
    <t>Total Annualized Spend</t>
  </si>
  <si>
    <t>Items Flagged</t>
  </si>
  <si>
    <t>Flagged Annualized Cost</t>
  </si>
  <si>
    <t>Potential Annual Savings</t>
  </si>
  <si>
    <t>Key Assumptions</t>
  </si>
  <si>
    <t>Monthly Fixed Costs</t>
  </si>
  <si>
    <t>Prompt 2 - The Expense Auditor (Leakage Deep Dive)</t>
  </si>
  <si>
    <r>
      <t xml:space="preserve">You are a Senior Auditor from a Big 4 firm reviewing flagged expenses for a small 
business. Below are transactions flagged by an automated anomaly-detection system, 
plus the audit summary.
For each flagged item, assess whether it represents TRUE waste (duplicate tool, 
unused subscription, vendor overcharge) versus JUSTIFIED spend. Then provide:
-&gt; A prioritized list of expenses to cut or renegotiate, with annual dollar impact
-&gt; The single highest-confidence saving opportunity
-&gt; A realistic total recoverable figure (not 100% of flagged — some flags are false positives)
Be skeptical and specific.
</t>
    </r>
    <r>
      <rPr>
        <sz val="11"/>
        <color rgb="FFFF0000"/>
        <rFont val="Calibri"/>
        <family val="2"/>
        <scheme val="minor"/>
      </rPr>
      <t>[PASTE FLAGGED ITEMS + AUDIT SUMMARY HERE]</t>
    </r>
  </si>
  <si>
    <t>Prompt 3 - The Scenario Translator (Plain English)</t>
  </si>
  <si>
    <r>
      <t xml:space="preserve">You are a financial analyst explaining model scenarios to a non-finance business owner. 
Given the assumptions and outputs below, explain in plain language:
- What happens to profitability and cash if monthly churn rises from its current rate to 8%
- What happens if the membership fee increases by $10
- Which single variable has the largest impact on the bottom line, and why
Use simple language and concrete dollar figures. No jargon.
</t>
    </r>
    <r>
      <rPr>
        <sz val="11"/>
        <color rgb="FFFF0000"/>
        <rFont val="Calibri"/>
        <family val="2"/>
        <scheme val="minor"/>
      </rPr>
      <t>[PASTE KEY ASSUMPTIONS + OUTPUTS HERE]</t>
    </r>
  </si>
  <si>
    <r>
      <t xml:space="preserve">You are a Strategic Finance Director writing a CFO-level brief for the owner of a 
</t>
    </r>
    <r>
      <rPr>
        <sz val="11"/>
        <color rgb="FFFF0000"/>
        <rFont val="Calibri"/>
        <family val="2"/>
        <scheme val="minor"/>
      </rPr>
      <t>boutique fitness studio</t>
    </r>
    <r>
      <rPr>
        <sz val="11"/>
        <color theme="1"/>
        <rFont val="Calibri"/>
        <family val="2"/>
        <scheme val="minor"/>
      </rPr>
      <t xml:space="preserve">. Below is a complete financial intelligence feed: a 3-year 
model summary, unit economics, and an expense leakage audit.
Write a one-page executive brief with four sections:
1. FINANCIAL TRAJECTORY -&gt; interpret the revenue and profitability path; identify the 
   operating-leverage inflection and what drives it.
2. LIQUIDITY RISK -&gt; assess the Year 1 cash position and funding need; state plainly 
   whether the business needs outside capital and roughly how much.
3. UNIT ECONOMICS HEALTH -&gt; evaluate the LTV:CAC ratio and payback; is customer 
   acquisition efficient and sustainable?
4. TOP 3 RECOMMENDED ACTIONS -&gt; specific, prioritized moves the owner should make.
Be direct and quantitative. Cite the actual numbers. Write for a smart owner who is 
not a finance expert.
</t>
    </r>
    <r>
      <rPr>
        <sz val="11"/>
        <color rgb="FFFF0000"/>
        <rFont val="Calibri"/>
        <family val="2"/>
        <scheme val="minor"/>
      </rPr>
      <t>[PASTE AI FEED DATA HERE]</t>
    </r>
  </si>
  <si>
    <t>Prompt 1 Output — The CFO Strategic Brief</t>
  </si>
  <si>
    <t>1.  FINANCIAL TRAJECTORY</t>
  </si>
  <si>
    <t>The business is on a credible path from heavy startup losses to durable profitability. Revenue grows from $393K (Y1) to $531K (Y2) to $643K (Y3) — roughly 64% over three years, with the biggest jump (+35%) in Year 2. More importantly, net income swings from a $104K loss in Year 1 to +$15K in Year 2 to +$95K in Year 3.</t>
  </si>
  <si>
    <t>The operating-leverage inflection happens in Year 2, when you cross from loss to profit. The driver is structural: your fixed costs (~$35K/month, ~$420K/year) stay roughly flat while revenue climbs and each new member carries an 87% gross margin. Once revenue clears the fixed-cost hurdle, almost every additional dollar falls to the bottom line. That's why EBITDA nearly triples from -$80K (Y1) to +$145K (Y3) — you're spreading the same fixed base over a growing membership.</t>
  </si>
  <si>
    <t>2.  LIQUIDITY RISK</t>
  </si>
  <si>
    <t>This is the one genuine threat. Year 1 ending cash is -$26.3K — the model literally runs out of money before the business turns the corner. Profitability in Year 2 doesn't help you if you can't survive Year 1.</t>
  </si>
  <si>
    <t>Plainly: yes, you need outside capital. The math says you'd dip about $26K below zero, but you should never run a business to a razor-thin or negative balance. Raise a buffer that covers the trough plus operating margin for surprises — target $75K–$100K in working capital (line of credit, owner injection, or a small SBA loan). This bridges you through the Year 1 loss and the early-Year-2 ramp without a cash emergency.</t>
  </si>
  <si>
    <t>3.  UNIT ECONOMICS HEALTH</t>
  </si>
  <si>
    <t>Your unit economics are excellent — arguably the strongest part of the business.</t>
  </si>
  <si>
    <t>•   LTV:CAC = 13.75 (LTV $1,925 vs. CAC $140). Healthy is 3:1; you're at nearly 14:1.</t>
  </si>
  <si>
    <t>•   CAC payback = 1.8 months — you recoup acquisition cost in under two months.</t>
  </si>
  <si>
    <t>•   Gross margin per member = 87%, over a 25-month average lifespan.</t>
  </si>
  <si>
    <t>Acquisition is highly efficient and sustainable. In fact, the signal here is that you may be under-spending on growth. With payback under two months and margins this high, every marketing dollar is extraordinarily productive — your constraint is cash to fund Year 1, not acquisition efficiency.</t>
  </si>
  <si>
    <t>4.  TOP 3 RECOMMENDED ACTIONS</t>
  </si>
  <si>
    <t>1.  Secure $75K–$100K in working capital now. This is non-negotiable and time-sensitive. The Year 1 cash trough (-$26K) must be funded before it arrives. A line of credit is ideal — cheap insurance against a profitable business failing on timing.</t>
  </si>
  <si>
    <t>2.  Cut the flagged expense leakage. The audit flags 6 items totaling $51K (65% of $79K annualized spend), with $30.7K in recoverable annual savings. Capturing this alone offsets nearly a third of your Year 1 loss and reduces how much outside capital you need. Highest-ROI action available.</t>
  </si>
  <si>
    <t>3.  Lean into acquisition once funded. With 13.75:1 LTV:CAC and 1.8-month payback, accelerating member growth above the current 25/month is the clearest lever to pull profitability forward — but only after the cash buffer is in place. Watch the 4% monthly churn closely; even a 1-point reduction meaningfully extends LTV and compounds everything above.</t>
  </si>
  <si>
    <t>Fractional CFO Toolkit</t>
  </si>
  <si>
    <t>3-Year Financial Model | Unit Economics | Expense Audit</t>
  </si>
  <si>
    <t>Key Metrics</t>
  </si>
  <si>
    <t xml:space="preserve">Year 3 Revenue </t>
  </si>
  <si>
    <t>Year 3 EBITDA Margin</t>
  </si>
  <si>
    <t>LTV : CAC</t>
  </si>
  <si>
    <t>Audit Savings Found</t>
  </si>
  <si>
    <t>• Revenue scales over the 3-year horizon as the customer base grows</t>
  </si>
  <si>
    <t>• Business trajectory reveals operating leverage as fixed costs are spread across more revenue</t>
  </si>
  <si>
    <t>• Monthly build surfaces the Year 1 cash low point and any funding need</t>
  </si>
  <si>
    <t>• Unit economics (LTV:CAC, payback) gauge customer acquisition efficiency</t>
  </si>
  <si>
    <t>• Automated expense audit flags recurring waste and quantifies recoverable savings</t>
  </si>
  <si>
    <t>Year 1 Revenue</t>
  </si>
  <si>
    <t>What This Model Shows</t>
  </si>
  <si>
    <t>Revenue &amp; Net Income by Year ($)</t>
  </si>
  <si>
    <t>Revenue</t>
  </si>
  <si>
    <t>Color Key — Cell Types</t>
  </si>
  <si>
    <t>Hard-coded inputs</t>
  </si>
  <si>
    <t>Formulas / calculations</t>
  </si>
  <si>
    <t>Links to other worksheets</t>
  </si>
  <si>
    <t>Links to other files</t>
  </si>
  <si>
    <t>Links to data providers (CIQ, FactSet)</t>
  </si>
  <si>
    <t>Assumptions - Iron &amp; Oak Fitness Studio</t>
  </si>
  <si>
    <t>Revenue Drivers</t>
  </si>
  <si>
    <t>Variable Cost per Member</t>
  </si>
  <si>
    <t>Working Capital &amp; Financing</t>
  </si>
  <si>
    <t>Tax Rate</t>
  </si>
  <si>
    <t>Capital &amp; Depreciation</t>
  </si>
  <si>
    <t>Annual</t>
  </si>
  <si>
    <t>Income Statement</t>
  </si>
  <si>
    <t>Gross Margin %</t>
  </si>
  <si>
    <t>Operating Expenses</t>
  </si>
  <si>
    <t>EBIT</t>
  </si>
  <si>
    <t>Taxes</t>
  </si>
  <si>
    <t>Net Margin %</t>
  </si>
  <si>
    <t>Total Assets</t>
  </si>
  <si>
    <t>Gross Margin per Member %</t>
  </si>
  <si>
    <t>Acquisition</t>
  </si>
  <si>
    <t>LTV (Lifetime Value)</t>
  </si>
  <si>
    <t>Potential Annualized Savings</t>
  </si>
  <si>
    <t>Year 2 Revenue</t>
  </si>
  <si>
    <t>CAC</t>
  </si>
  <si>
    <t>Prompt 1 - The CFO Strategic Brief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</si>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</sst>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0.0%"/>
    <numFmt numFmtId="166" formatCode="_(&quot;$&quot;* #,##0_);_(&quot;$&quot;* \(#,##0\);_(&quot;$&quot;* &quot;-&quot;??_);_(@_)"/>
    <numFmt numFmtId="171" formatCode="0.00&quot;x&quot;"/>
    <numFmt numFmtId="176" formatCode="&quot;$&quot;#,##0"/>
    <numFmt numFmtId="177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1F3864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222222"/>
      <name val="Calibri"/>
      <family val="2"/>
      <scheme val="minor"/>
    </font>
    <font>
      <i/>
      <sz val="11"/>
      <color rgb="FF222222"/>
      <name val="Calibri"/>
      <family val="2"/>
      <scheme val="minor"/>
    </font>
    <font>
      <b/>
      <sz val="12"/>
      <color rgb="FF008000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8B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E549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3" fillId="2" borderId="0" xfId="0" applyFont="1" applyFill="1"/>
    <xf numFmtId="164" fontId="3" fillId="2" borderId="0" xfId="1" applyNumberFormat="1" applyFont="1" applyFill="1" applyBorder="1"/>
    <xf numFmtId="164" fontId="3" fillId="2" borderId="0" xfId="0" applyNumberFormat="1" applyFont="1" applyFill="1"/>
    <xf numFmtId="0" fontId="0" fillId="0" borderId="0" xfId="0" applyAlignment="1">
      <alignment horizontal="left" indent="1"/>
    </xf>
    <xf numFmtId="0" fontId="0" fillId="3" borderId="0" xfId="0" applyFill="1"/>
    <xf numFmtId="10" fontId="0" fillId="0" borderId="0" xfId="1" applyNumberFormat="1" applyFont="1"/>
    <xf numFmtId="0" fontId="0" fillId="0" borderId="0" xfId="0" applyAlignment="1">
      <alignment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7" fillId="4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166" fontId="10" fillId="0" borderId="0" xfId="2" applyNumberFormat="1" applyFont="1"/>
    <xf numFmtId="164" fontId="10" fillId="0" borderId="0" xfId="1" applyNumberFormat="1" applyFont="1"/>
    <xf numFmtId="171" fontId="10" fillId="0" borderId="0" xfId="0" applyNumberFormat="1" applyFont="1"/>
    <xf numFmtId="0" fontId="2" fillId="0" borderId="0" xfId="0" applyFont="1" applyAlignment="1">
      <alignment horizontal="right"/>
    </xf>
    <xf numFmtId="0" fontId="11" fillId="0" borderId="0" xfId="0" applyFont="1"/>
    <xf numFmtId="166" fontId="11" fillId="0" borderId="0" xfId="0" applyNumberFormat="1" applyFont="1"/>
    <xf numFmtId="0" fontId="3" fillId="0" borderId="0" xfId="0" applyFont="1"/>
    <xf numFmtId="0" fontId="12" fillId="0" borderId="0" xfId="0" applyFont="1"/>
    <xf numFmtId="0" fontId="5" fillId="0" borderId="0" xfId="0" applyFont="1"/>
    <xf numFmtId="0" fontId="13" fillId="0" borderId="0" xfId="0" applyFont="1"/>
    <xf numFmtId="176" fontId="3" fillId="2" borderId="0" xfId="0" applyNumberFormat="1" applyFont="1" applyFill="1"/>
    <xf numFmtId="3" fontId="11" fillId="0" borderId="0" xfId="0" applyNumberFormat="1" applyFont="1"/>
    <xf numFmtId="3" fontId="12" fillId="0" borderId="0" xfId="0" applyNumberFormat="1" applyFont="1"/>
    <xf numFmtId="166" fontId="12" fillId="0" borderId="0" xfId="0" applyNumberFormat="1" applyFont="1"/>
    <xf numFmtId="164" fontId="12" fillId="0" borderId="0" xfId="0" applyNumberFormat="1" applyFont="1"/>
    <xf numFmtId="164" fontId="12" fillId="0" borderId="0" xfId="1" applyNumberFormat="1" applyFont="1"/>
    <xf numFmtId="166" fontId="3" fillId="0" borderId="0" xfId="0" applyNumberFormat="1" applyFont="1"/>
    <xf numFmtId="166" fontId="0" fillId="0" borderId="0" xfId="0" applyNumberFormat="1"/>
    <xf numFmtId="171" fontId="12" fillId="0" borderId="0" xfId="0" applyNumberFormat="1" applyFont="1"/>
    <xf numFmtId="177" fontId="12" fillId="0" borderId="0" xfId="0" applyNumberFormat="1" applyFont="1"/>
    <xf numFmtId="14" fontId="3" fillId="0" borderId="0" xfId="0" applyNumberFormat="1" applyFont="1"/>
    <xf numFmtId="171" fontId="11" fillId="0" borderId="0" xfId="0" quotePrefix="1" applyNumberFormat="1" applyFont="1"/>
    <xf numFmtId="177" fontId="11" fillId="0" borderId="0" xfId="0" applyNumberFormat="1" applyFont="1"/>
    <xf numFmtId="164" fontId="11" fillId="0" borderId="0" xfId="0" applyNumberFormat="1" applyFont="1"/>
    <xf numFmtId="164" fontId="11" fillId="0" borderId="0" xfId="1" applyNumberFormat="1" applyFont="1"/>
  </cellXfs>
  <cellStyles count="3">
    <cellStyle name="Currency" xfId="2" builtinId="4"/>
    <cellStyle name="Normal" xfId="0" builtinId="0"/>
    <cellStyle name="Percent" xfId="1" builtinId="5"/>
  </cellStyles>
  <dxfs count="8">
    <dxf>
      <font>
        <color rgb="FF000000"/>
      </font>
      <numFmt numFmtId="166" formatCode="_(&quot;$&quot;* #,##0_);_(&quot;$&quot;* \(#,##0\);_(&quot;$&quot;* &quot;-&quot;??_);_(@_)"/>
    </dxf>
    <dxf>
      <font>
        <color rgb="FF0000FF"/>
      </font>
      <numFmt numFmtId="166" formatCode="_(&quot;$&quot;* #,##0_);_(&quot;$&quot;* \(#,##0\);_(&quot;$&quot;* &quot;-&quot;??_);_(@_)"/>
    </dxf>
    <dxf>
      <font>
        <color rgb="FF0000FF"/>
      </font>
      <numFmt numFmtId="19" formatCode="m/d/yyyy"/>
    </dxf>
    <dxf>
      <font>
        <color rgb="FF000000"/>
      </font>
      <numFmt numFmtId="0" formatCode="General"/>
    </dxf>
    <dxf>
      <font>
        <color rgb="FF0000FF"/>
      </font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&amp; Net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6124109119696"/>
          <c:y val="7.643939393939396E-2"/>
          <c:w val="0.78925991587263467"/>
          <c:h val="0.881950608446671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Dashboard!$A$37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Dashboard!$B$36:$D$36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Dashboard!$B$37:$D$37</c:f>
              <c:numCache>
                <c:formatCode>_("$"* #,##0_);_("$"* \(#,##0\);_("$"* "-"??_);_(@_)</c:formatCode>
                <c:ptCount val="3"/>
                <c:pt idx="0">
                  <c:v>393041.92840370629</c:v>
                </c:pt>
                <c:pt idx="1">
                  <c:v>531163.09769820853</c:v>
                </c:pt>
                <c:pt idx="2">
                  <c:v>643256.05134322192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42-4E64-A944-584B656EB9C9}"/>
            </c:ext>
          </c:extLst>
        </c:ser>
        <c:ser>
          <c:idx val="1"/>
          <c:order val="1"/>
          <c:tx>
            <c:strRef>
              <c:f>Dashboard!$A$38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Dashboard!$B$36:$D$36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Dashboard!$B$38:$D$38</c:f>
              <c:numCache>
                <c:formatCode>_("$"* #,##0_);_("$"* \(#,##0\);_("$"* "-"??_);_(@_)</c:formatCode>
                <c:ptCount val="3"/>
                <c:pt idx="0">
                  <c:v>-103752.48890915298</c:v>
                </c:pt>
                <c:pt idx="1">
                  <c:v>15133.20709406181</c:v>
                </c:pt>
                <c:pt idx="2">
                  <c:v>95422.7877156334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42-4E64-A944-584B656EB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7599728"/>
        <c:axId val="2037600688"/>
      </c:barChart>
      <c:catAx>
        <c:axId val="203759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600688"/>
        <c:crosses val="autoZero"/>
        <c:auto val="1"/>
        <c:lblAlgn val="ctr"/>
        <c:lblOffset val="100"/>
        <c:noMultiLvlLbl val="0"/>
      </c:catAx>
      <c:valAx>
        <c:axId val="203760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59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EBITDA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'Income Statement'!$B$26:$M$26</c:f>
              <c:numCache>
                <c:formatCode>_("$"* #,##0_);_("$"* \(#,##0\);_("$"* "-"??_);_(@_)</c:formatCode>
                <c:ptCount val="12"/>
                <c:pt idx="0">
                  <c:v>-11399.5</c:v>
                </c:pt>
                <c:pt idx="1">
                  <c:v>-10418.52</c:v>
                </c:pt>
                <c:pt idx="2">
                  <c:v>-9476.7791999999972</c:v>
                </c:pt>
                <c:pt idx="3">
                  <c:v>-8572.7080319999986</c:v>
                </c:pt>
                <c:pt idx="4">
                  <c:v>-7704.799710719999</c:v>
                </c:pt>
                <c:pt idx="5">
                  <c:v>-6871.607722291199</c:v>
                </c:pt>
                <c:pt idx="6">
                  <c:v>-6071.7434133995484</c:v>
                </c:pt>
                <c:pt idx="7">
                  <c:v>-5303.8736768635681</c:v>
                </c:pt>
                <c:pt idx="8">
                  <c:v>-4566.7187297890268</c:v>
                </c:pt>
                <c:pt idx="9">
                  <c:v>-3859.0499805974614</c:v>
                </c:pt>
                <c:pt idx="10">
                  <c:v>-3179.687981373565</c:v>
                </c:pt>
                <c:pt idx="11">
                  <c:v>-2527.5004621186235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5A-4E96-802C-06232E321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633472"/>
        <c:axId val="183632032"/>
      </c:lineChart>
      <c:catAx>
        <c:axId val="183633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32032"/>
        <c:crosses val="autoZero"/>
        <c:auto val="1"/>
        <c:lblAlgn val="ctr"/>
        <c:lblOffset val="100"/>
        <c:noMultiLvlLbl val="0"/>
      </c:catAx>
      <c:valAx>
        <c:axId val="1836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3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44449</xdr:colOff>
      <xdr:row>21</xdr:row>
      <xdr:rowOff>44450</xdr:rowOff>
    </xdr:from>
    <xdr:to>
      <xdr:col>2</xdr:col>
      <xdr:colOff>19049</xdr:colOff>
      <xdr:row>33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13ABE1-B60B-4C33-26BC-312C2E2EE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57150</xdr:colOff>
      <xdr:row>21</xdr:row>
      <xdr:rowOff>6350</xdr:rowOff>
    </xdr:from>
    <xdr:to>
      <xdr:col>8</xdr:col>
      <xdr:colOff>482600</xdr:colOff>
      <xdr:row>33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7C4427-0DDD-4733-BF30-D5395BB007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B63CB8-4D42-4F6A-88D2-539CD67A1397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Date" tableColumnId="1"/>
      <queryTableField id="2" name="Vendor" tableColumnId="2"/>
      <queryTableField id="3" name="Category" tableColumnId="3"/>
      <queryTableField id="4" name="Amount" tableColumnId="4"/>
      <queryTableField id="5" name="Recurring" tableColumnId="5"/>
      <queryTableField id="6" name="Months Active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A53B52-91DB-4EB8-ABED-ADFC4DFA5B9E}" name="leakage_sample_data" displayName="leakage_sample_data" ref="A1:H17" tableType="queryTable" totalsRowShown="0">
  <autoFilter ref="A1:H17" xr:uid="{EFA53B52-91DB-4EB8-ABED-ADFC4DFA5B9E}"/>
  <tableColumns count="8">
    <tableColumn id="1" xr3:uid="{4BE0A160-C71A-4A12-B3D1-1D69109A442F}" uniqueName="1" name="Date" queryTableFieldId="1" dataDxfId="2"/>
    <tableColumn id="2" xr3:uid="{5BC744F6-0800-4C3D-8509-70AB1C2212D6}" uniqueName="2" name="Vendor" queryTableFieldId="2" dataDxfId="7"/>
    <tableColumn id="3" xr3:uid="{6FC2F164-7514-4A0B-B0AE-1F6F04196D2B}" uniqueName="3" name="Category" queryTableFieldId="3" dataDxfId="6"/>
    <tableColumn id="4" xr3:uid="{834BE192-A511-4F35-B7B3-BF148DFC8263}" uniqueName="4" name="Amount" queryTableFieldId="4" dataDxfId="1"/>
    <tableColumn id="5" xr3:uid="{81F3AE8D-9199-4C52-A637-BFFEAD878FED}" uniqueName="5" name="Recurring" queryTableFieldId="5" dataDxfId="5"/>
    <tableColumn id="6" xr3:uid="{9AA195A8-CB76-4D45-894F-55484A7C9402}" uniqueName="6" name="Months Active" queryTableFieldId="6" dataDxfId="4"/>
    <tableColumn id="7" xr3:uid="{FDFF63C8-E167-4B89-9A12-901ED7172EA3}" uniqueName="7" name="Flag" queryTableFieldId="7" dataDxfId="3">
      <calculatedColumnFormula>IF(C2="","",IF(COUNTIF(B:B,B2)&gt;1,"Duplicate Vendor",IF(AND(E2="Yes",D2&gt;500),"High Recurring Cost",IF(D2&gt;AVERAGE(D:D)*2.5,"Spending Spike",""))))</calculatedColumnFormula>
    </tableColumn>
    <tableColumn id="8" xr3:uid="{28E53B12-FB6A-417E-AE9C-650CA872A262}" uniqueName="8" name="Annualized Cost" queryTableFieldId="8" dataDxfId="0">
      <calculatedColumnFormula>IF(C2="","",IF(E2="Yes",D2*F2,D2))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F715929-A292-495D-8B57-E7760F30AB7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42d74e5-01ac-4691-8395-bc097351eca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C290D-0D9F-4DEC-B0A7-8A5AAE130F77}">
  <dimension ref="A1:D46"/>
  <sheetViews>
    <sheetView showGridLines="0" tabSelected="1" workbookViewId="0">
      <selection activeCell="D13" sqref="D13"/>
    </sheetView>
  </sheetViews>
  <sheetFormatPr defaultRowHeight="15" x14ac:dyDescent="0.25"/>
  <cols>
    <col min="1" max="1" width="29.5703125" customWidth="1"/>
    <col min="2" max="4" width="13.7109375" customWidth="1"/>
  </cols>
  <sheetData>
    <row r="1" spans="1:2" x14ac:dyDescent="0.25">
      <c r="A1" s="1" t="s">
        <v>165</v>
      </c>
    </row>
    <row r="2" spans="1:2" x14ac:dyDescent="0.25">
      <c r="A2" t="s">
        <v>166</v>
      </c>
    </row>
    <row r="4" spans="1:2" x14ac:dyDescent="0.25">
      <c r="A4" s="1" t="s">
        <v>167</v>
      </c>
    </row>
    <row r="6" spans="1:2" ht="15.75" x14ac:dyDescent="0.25">
      <c r="A6" t="s">
        <v>177</v>
      </c>
      <c r="B6" s="14">
        <f>'Income Statement'!N13</f>
        <v>393041.92840370629</v>
      </c>
    </row>
    <row r="7" spans="1:2" ht="15.75" x14ac:dyDescent="0.25">
      <c r="A7" t="s">
        <v>168</v>
      </c>
      <c r="B7" s="14">
        <f>'Income Statement'!P13</f>
        <v>643256.05134322192</v>
      </c>
    </row>
    <row r="8" spans="1:2" ht="15.75" x14ac:dyDescent="0.25">
      <c r="A8" t="s">
        <v>126</v>
      </c>
      <c r="B8" s="14">
        <f>'Income Statement'!N32</f>
        <v>-103752.48890915298</v>
      </c>
    </row>
    <row r="9" spans="1:2" ht="15.75" x14ac:dyDescent="0.25">
      <c r="A9" t="s">
        <v>128</v>
      </c>
      <c r="B9" s="14">
        <f>'Income Statement'!P32</f>
        <v>95422.7877156334</v>
      </c>
    </row>
    <row r="10" spans="1:2" ht="15.75" x14ac:dyDescent="0.25">
      <c r="A10" t="s">
        <v>169</v>
      </c>
      <c r="B10" s="15">
        <f>'Income Statement'!P26/'Income Statement'!P13</f>
        <v>0.2247757150183429</v>
      </c>
    </row>
    <row r="11" spans="1:2" ht="15.75" x14ac:dyDescent="0.25">
      <c r="A11" t="s">
        <v>170</v>
      </c>
      <c r="B11" s="16">
        <f>'Unit Economics'!B21</f>
        <v>13.75</v>
      </c>
    </row>
    <row r="12" spans="1:2" ht="15.75" x14ac:dyDescent="0.25">
      <c r="A12" t="s">
        <v>131</v>
      </c>
      <c r="B12" s="14">
        <f>Cash!C22</f>
        <v>-26260.371436913934</v>
      </c>
    </row>
    <row r="13" spans="1:2" ht="15.75" x14ac:dyDescent="0.25">
      <c r="A13" t="s">
        <v>171</v>
      </c>
      <c r="B13" s="14">
        <f>'Leakage Audit'!K5</f>
        <v>30729.599999999999</v>
      </c>
    </row>
    <row r="16" spans="1:2" x14ac:dyDescent="0.25">
      <c r="A16" s="1" t="s">
        <v>178</v>
      </c>
    </row>
    <row r="17" spans="1:4" x14ac:dyDescent="0.25">
      <c r="A17" t="s">
        <v>172</v>
      </c>
      <c r="D17" t="s">
        <v>208</v>
      </c>
    </row>
    <row r="18" spans="1:4" x14ac:dyDescent="0.25">
      <c r="A18" t="s">
        <v>173</v>
      </c>
    </row>
    <row r="19" spans="1:4" x14ac:dyDescent="0.25">
      <c r="A19" t="s">
        <v>174</v>
      </c>
    </row>
    <row r="20" spans="1:4" x14ac:dyDescent="0.25">
      <c r="A20" t="s">
        <v>176</v>
      </c>
    </row>
    <row r="21" spans="1:4" x14ac:dyDescent="0.25">
      <c r="A21" t="s">
        <v>175</v>
      </c>
    </row>
    <row r="35" spans="1:4" x14ac:dyDescent="0.25">
      <c r="A35" s="1" t="s">
        <v>179</v>
      </c>
    </row>
    <row r="36" spans="1:4" x14ac:dyDescent="0.25">
      <c r="B36" s="17" t="s">
        <v>47</v>
      </c>
      <c r="C36" s="17" t="s">
        <v>23</v>
      </c>
      <c r="D36" s="17" t="s">
        <v>24</v>
      </c>
    </row>
    <row r="37" spans="1:4" x14ac:dyDescent="0.25">
      <c r="A37" t="s">
        <v>180</v>
      </c>
      <c r="B37" s="19">
        <f>'Income Statement'!N13</f>
        <v>393041.92840370629</v>
      </c>
      <c r="C37" s="19">
        <f>'Income Statement'!O13</f>
        <v>531163.09769820853</v>
      </c>
      <c r="D37" s="19">
        <f>'Income Statement'!P13</f>
        <v>643256.05134322192</v>
      </c>
    </row>
    <row r="38" spans="1:4" x14ac:dyDescent="0.25">
      <c r="A38" t="s">
        <v>44</v>
      </c>
      <c r="B38" s="19">
        <f>'Income Statement'!N32</f>
        <v>-103752.48890915298</v>
      </c>
      <c r="C38" s="19">
        <f>'Income Statement'!O32</f>
        <v>15133.20709406181</v>
      </c>
      <c r="D38" s="19">
        <f>'Income Statement'!P32</f>
        <v>95422.7877156334</v>
      </c>
    </row>
    <row r="41" spans="1:4" x14ac:dyDescent="0.25">
      <c r="A41" s="1" t="s">
        <v>181</v>
      </c>
    </row>
    <row r="42" spans="1:4" x14ac:dyDescent="0.25">
      <c r="A42" s="20" t="s">
        <v>182</v>
      </c>
    </row>
    <row r="43" spans="1:4" x14ac:dyDescent="0.25">
      <c r="A43" s="21" t="s">
        <v>183</v>
      </c>
    </row>
    <row r="44" spans="1:4" x14ac:dyDescent="0.25">
      <c r="A44" s="18" t="s">
        <v>184</v>
      </c>
    </row>
    <row r="45" spans="1:4" x14ac:dyDescent="0.25">
      <c r="A45" s="22" t="s">
        <v>185</v>
      </c>
    </row>
    <row r="46" spans="1:4" x14ac:dyDescent="0.25">
      <c r="A46" s="23" t="s">
        <v>186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A6441-6A75-4B84-A6C9-F79887341D20}">
  <dimension ref="A1:B37"/>
  <sheetViews>
    <sheetView topLeftCell="A10" workbookViewId="0">
      <selection activeCell="B12" sqref="B12"/>
    </sheetView>
  </sheetViews>
  <sheetFormatPr defaultRowHeight="15" x14ac:dyDescent="0.25"/>
  <cols>
    <col min="1" max="1" width="37.5703125" bestFit="1" customWidth="1"/>
    <col min="2" max="2" width="9.140625" style="2"/>
  </cols>
  <sheetData>
    <row r="1" spans="1:2" x14ac:dyDescent="0.25">
      <c r="A1" s="1" t="s">
        <v>187</v>
      </c>
    </row>
    <row r="3" spans="1:2" x14ac:dyDescent="0.25">
      <c r="A3" s="1" t="s">
        <v>188</v>
      </c>
    </row>
    <row r="4" spans="1:2" x14ac:dyDescent="0.25">
      <c r="A4" t="s">
        <v>5</v>
      </c>
      <c r="B4" s="2">
        <v>300</v>
      </c>
    </row>
    <row r="5" spans="1:2" x14ac:dyDescent="0.25">
      <c r="A5" t="s">
        <v>6</v>
      </c>
      <c r="B5" s="2">
        <v>25</v>
      </c>
    </row>
    <row r="6" spans="1:2" x14ac:dyDescent="0.25">
      <c r="A6" t="s">
        <v>4</v>
      </c>
      <c r="B6" s="3">
        <v>0.04</v>
      </c>
    </row>
    <row r="7" spans="1:2" x14ac:dyDescent="0.25">
      <c r="A7" t="s">
        <v>7</v>
      </c>
      <c r="B7" s="24">
        <v>89</v>
      </c>
    </row>
    <row r="8" spans="1:2" x14ac:dyDescent="0.25">
      <c r="A8" t="s">
        <v>8</v>
      </c>
      <c r="B8" s="3">
        <v>0.05</v>
      </c>
    </row>
    <row r="10" spans="1:2" x14ac:dyDescent="0.25">
      <c r="A10" s="1" t="s">
        <v>9</v>
      </c>
    </row>
    <row r="11" spans="1:2" x14ac:dyDescent="0.25">
      <c r="A11" t="s">
        <v>10</v>
      </c>
      <c r="B11" s="24">
        <v>8500</v>
      </c>
    </row>
    <row r="12" spans="1:2" x14ac:dyDescent="0.25">
      <c r="A12" t="s">
        <v>11</v>
      </c>
      <c r="B12" s="24">
        <v>18000</v>
      </c>
    </row>
    <row r="13" spans="1:2" x14ac:dyDescent="0.25">
      <c r="A13" t="s">
        <v>12</v>
      </c>
      <c r="B13" s="24">
        <v>2200</v>
      </c>
    </row>
    <row r="14" spans="1:2" x14ac:dyDescent="0.25">
      <c r="A14" t="s">
        <v>13</v>
      </c>
      <c r="B14" s="24">
        <v>3500</v>
      </c>
    </row>
    <row r="15" spans="1:2" x14ac:dyDescent="0.25">
      <c r="A15" t="s">
        <v>14</v>
      </c>
      <c r="B15" s="24">
        <v>2800</v>
      </c>
    </row>
    <row r="16" spans="1:2" x14ac:dyDescent="0.25">
      <c r="A16" t="s">
        <v>189</v>
      </c>
      <c r="B16" s="24">
        <v>12</v>
      </c>
    </row>
    <row r="18" spans="1:2" x14ac:dyDescent="0.25">
      <c r="A18" s="1" t="s">
        <v>190</v>
      </c>
    </row>
    <row r="19" spans="1:2" x14ac:dyDescent="0.25">
      <c r="A19" t="s">
        <v>15</v>
      </c>
      <c r="B19" s="2">
        <v>5</v>
      </c>
    </row>
    <row r="20" spans="1:2" x14ac:dyDescent="0.25">
      <c r="A20" t="s">
        <v>16</v>
      </c>
      <c r="B20" s="2">
        <v>30</v>
      </c>
    </row>
    <row r="21" spans="1:2" x14ac:dyDescent="0.25">
      <c r="A21" t="s">
        <v>17</v>
      </c>
      <c r="B21" s="24">
        <v>40000</v>
      </c>
    </row>
    <row r="22" spans="1:2" x14ac:dyDescent="0.25">
      <c r="A22" t="s">
        <v>18</v>
      </c>
      <c r="B22" s="24">
        <v>60000</v>
      </c>
    </row>
    <row r="23" spans="1:2" x14ac:dyDescent="0.25">
      <c r="A23" t="s">
        <v>19</v>
      </c>
      <c r="B23" s="4">
        <v>0.08</v>
      </c>
    </row>
    <row r="24" spans="1:2" x14ac:dyDescent="0.25">
      <c r="A24" t="s">
        <v>191</v>
      </c>
      <c r="B24" s="4">
        <v>0.21</v>
      </c>
    </row>
    <row r="26" spans="1:2" x14ac:dyDescent="0.25">
      <c r="A26" s="1" t="s">
        <v>192</v>
      </c>
    </row>
    <row r="27" spans="1:2" x14ac:dyDescent="0.25">
      <c r="A27" t="s">
        <v>20</v>
      </c>
      <c r="B27" s="24">
        <v>95000</v>
      </c>
    </row>
    <row r="28" spans="1:2" x14ac:dyDescent="0.25">
      <c r="A28" t="s">
        <v>21</v>
      </c>
      <c r="B28" s="24">
        <v>15000</v>
      </c>
    </row>
    <row r="29" spans="1:2" x14ac:dyDescent="0.25">
      <c r="A29" t="s">
        <v>22</v>
      </c>
      <c r="B29" s="24">
        <v>19000</v>
      </c>
    </row>
    <row r="32" spans="1:2" x14ac:dyDescent="0.25">
      <c r="A32" s="1" t="s">
        <v>181</v>
      </c>
    </row>
    <row r="33" spans="1:1" x14ac:dyDescent="0.25">
      <c r="A33" s="20" t="s">
        <v>182</v>
      </c>
    </row>
    <row r="34" spans="1:1" x14ac:dyDescent="0.25">
      <c r="A34" s="21" t="s">
        <v>183</v>
      </c>
    </row>
    <row r="35" spans="1:1" x14ac:dyDescent="0.25">
      <c r="A35" s="18" t="s">
        <v>184</v>
      </c>
    </row>
    <row r="36" spans="1:1" x14ac:dyDescent="0.25">
      <c r="A36" s="22" t="s">
        <v>185</v>
      </c>
    </row>
    <row r="37" spans="1:1" x14ac:dyDescent="0.25">
      <c r="A37" s="23" t="s">
        <v>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91C20-0016-4F63-9E70-D3BF3FD73E93}">
  <dimension ref="A2:R42"/>
  <sheetViews>
    <sheetView topLeftCell="A7" workbookViewId="0">
      <selection activeCell="C36" sqref="C36"/>
    </sheetView>
  </sheetViews>
  <sheetFormatPr defaultRowHeight="15" x14ac:dyDescent="0.25"/>
  <cols>
    <col min="1" max="1" width="20.85546875" bestFit="1" customWidth="1"/>
    <col min="2" max="6" width="9.7109375" bestFit="1" customWidth="1"/>
    <col min="14" max="14" width="10.7109375" bestFit="1" customWidth="1"/>
    <col min="15" max="16" width="10" bestFit="1" customWidth="1"/>
    <col min="18" max="18" width="45.140625" bestFit="1" customWidth="1"/>
  </cols>
  <sheetData>
    <row r="2" spans="1:18" s="1" customFormat="1" x14ac:dyDescent="0.25">
      <c r="B2" s="1" t="s">
        <v>25</v>
      </c>
      <c r="N2" s="1" t="s">
        <v>193</v>
      </c>
    </row>
    <row r="3" spans="1:18" s="1" customFormat="1" x14ac:dyDescent="0.25"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 t="s">
        <v>47</v>
      </c>
      <c r="O3" s="1" t="s">
        <v>23</v>
      </c>
      <c r="P3" s="1" t="s">
        <v>24</v>
      </c>
    </row>
    <row r="5" spans="1:18" x14ac:dyDescent="0.25">
      <c r="A5" s="1" t="s">
        <v>26</v>
      </c>
    </row>
    <row r="6" spans="1:18" x14ac:dyDescent="0.25">
      <c r="A6" t="s">
        <v>27</v>
      </c>
      <c r="B6" s="25">
        <f>Assumptions!B4</f>
        <v>300</v>
      </c>
      <c r="C6" s="26">
        <f>B9</f>
        <v>313</v>
      </c>
      <c r="D6" s="26">
        <f t="shared" ref="D6:M6" si="0">C9</f>
        <v>325.48</v>
      </c>
      <c r="E6" s="26">
        <f t="shared" si="0"/>
        <v>337.46080000000001</v>
      </c>
      <c r="F6" s="26">
        <f t="shared" si="0"/>
        <v>348.96236800000003</v>
      </c>
      <c r="G6" s="26">
        <f t="shared" si="0"/>
        <v>360.00387328000005</v>
      </c>
      <c r="H6" s="26">
        <f t="shared" si="0"/>
        <v>370.60371834880004</v>
      </c>
      <c r="I6" s="26">
        <f t="shared" si="0"/>
        <v>380.77956961484801</v>
      </c>
      <c r="J6" s="26">
        <f t="shared" si="0"/>
        <v>390.54838683025412</v>
      </c>
      <c r="K6" s="26">
        <f t="shared" si="0"/>
        <v>399.92645135704396</v>
      </c>
      <c r="L6" s="26">
        <f t="shared" si="0"/>
        <v>408.92939330276221</v>
      </c>
      <c r="M6" s="26">
        <f t="shared" si="0"/>
        <v>417.57221757065173</v>
      </c>
      <c r="N6" s="26">
        <f>B6</f>
        <v>300</v>
      </c>
      <c r="O6" s="26">
        <f>N9</f>
        <v>425.86932886782569</v>
      </c>
      <c r="P6" s="26">
        <f>O9</f>
        <v>521.45205101126942</v>
      </c>
    </row>
    <row r="7" spans="1:18" x14ac:dyDescent="0.25">
      <c r="A7" t="s">
        <v>28</v>
      </c>
      <c r="B7" s="25">
        <f>Assumptions!$B$5</f>
        <v>25</v>
      </c>
      <c r="C7" s="25">
        <f>Assumptions!$B$5</f>
        <v>25</v>
      </c>
      <c r="D7" s="25">
        <f>Assumptions!$B$5</f>
        <v>25</v>
      </c>
      <c r="E7" s="25">
        <f>Assumptions!$B$5</f>
        <v>25</v>
      </c>
      <c r="F7" s="25">
        <f>Assumptions!$B$5</f>
        <v>25</v>
      </c>
      <c r="G7" s="25">
        <f>Assumptions!$B$5</f>
        <v>25</v>
      </c>
      <c r="H7" s="25">
        <f>Assumptions!$B$5</f>
        <v>25</v>
      </c>
      <c r="I7" s="25">
        <f>Assumptions!$B$5</f>
        <v>25</v>
      </c>
      <c r="J7" s="25">
        <f>Assumptions!$B$5</f>
        <v>25</v>
      </c>
      <c r="K7" s="25">
        <f>Assumptions!$B$5</f>
        <v>25</v>
      </c>
      <c r="L7" s="25">
        <f>Assumptions!$B$5</f>
        <v>25</v>
      </c>
      <c r="M7" s="25">
        <f>Assumptions!$B$5</f>
        <v>25</v>
      </c>
      <c r="N7" s="26">
        <f>SUM(B7:M7)</f>
        <v>300</v>
      </c>
      <c r="O7" s="25">
        <f>Assumptions!$B$5*12</f>
        <v>300</v>
      </c>
      <c r="P7" s="25">
        <f>Assumptions!$B$5*12</f>
        <v>300</v>
      </c>
    </row>
    <row r="8" spans="1:18" x14ac:dyDescent="0.25">
      <c r="A8" t="s">
        <v>29</v>
      </c>
      <c r="B8" s="25">
        <f>B6*Assumptions!$B$6</f>
        <v>12</v>
      </c>
      <c r="C8" s="25">
        <f>C6*Assumptions!$B$6</f>
        <v>12.52</v>
      </c>
      <c r="D8" s="25">
        <f>D6*Assumptions!$B$6</f>
        <v>13.019200000000001</v>
      </c>
      <c r="E8" s="25">
        <f>E6*Assumptions!$B$6</f>
        <v>13.498432000000001</v>
      </c>
      <c r="F8" s="25">
        <f>F6*Assumptions!$B$6</f>
        <v>13.958494720000001</v>
      </c>
      <c r="G8" s="25">
        <f>G6*Assumptions!$B$6</f>
        <v>14.400154931200003</v>
      </c>
      <c r="H8" s="25">
        <f>H6*Assumptions!$B$6</f>
        <v>14.824148733952002</v>
      </c>
      <c r="I8" s="25">
        <f>I6*Assumptions!$B$6</f>
        <v>15.231182784593921</v>
      </c>
      <c r="J8" s="25">
        <f>J6*Assumptions!$B$6</f>
        <v>15.621935473210165</v>
      </c>
      <c r="K8" s="25">
        <f>K6*Assumptions!$B$6</f>
        <v>15.997058054281759</v>
      </c>
      <c r="L8" s="25">
        <f>L6*Assumptions!$B$6</f>
        <v>16.357175732110488</v>
      </c>
      <c r="M8" s="25">
        <f>M6*Assumptions!$B$6</f>
        <v>16.702888702826069</v>
      </c>
      <c r="N8" s="26">
        <f>SUM(B8:M8)</f>
        <v>174.1306711321744</v>
      </c>
      <c r="O8" s="25">
        <f>O6*Assumptions!$B$6*12</f>
        <v>204.41727785655635</v>
      </c>
      <c r="P8" s="25">
        <f>P6*Assumptions!$B$6*12</f>
        <v>250.29698448540933</v>
      </c>
      <c r="R8" s="6" t="s">
        <v>45</v>
      </c>
    </row>
    <row r="9" spans="1:18" x14ac:dyDescent="0.25">
      <c r="A9" t="s">
        <v>30</v>
      </c>
      <c r="B9" s="26">
        <f>B6+B7-B8</f>
        <v>313</v>
      </c>
      <c r="C9" s="26">
        <f>C6+C7-C8</f>
        <v>325.48</v>
      </c>
      <c r="D9" s="26">
        <f t="shared" ref="D9:M9" si="1">D6+D7-D8</f>
        <v>337.46080000000001</v>
      </c>
      <c r="E9" s="26">
        <f t="shared" si="1"/>
        <v>348.96236800000003</v>
      </c>
      <c r="F9" s="26">
        <f t="shared" si="1"/>
        <v>360.00387328000005</v>
      </c>
      <c r="G9" s="26">
        <f t="shared" si="1"/>
        <v>370.60371834880004</v>
      </c>
      <c r="H9" s="26">
        <f t="shared" si="1"/>
        <v>380.77956961484801</v>
      </c>
      <c r="I9" s="26">
        <f t="shared" si="1"/>
        <v>390.54838683025412</v>
      </c>
      <c r="J9" s="26">
        <f t="shared" si="1"/>
        <v>399.92645135704396</v>
      </c>
      <c r="K9" s="26">
        <f t="shared" si="1"/>
        <v>408.92939330276221</v>
      </c>
      <c r="L9" s="26">
        <f t="shared" si="1"/>
        <v>417.57221757065173</v>
      </c>
      <c r="M9" s="26">
        <f t="shared" si="1"/>
        <v>425.86932886782569</v>
      </c>
      <c r="N9" s="26">
        <f>M9</f>
        <v>425.86932886782569</v>
      </c>
      <c r="O9" s="26">
        <f>O6+O7-O8</f>
        <v>521.45205101126942</v>
      </c>
      <c r="P9" s="26">
        <f>P6+P7-P8</f>
        <v>571.15506652586009</v>
      </c>
    </row>
    <row r="10" spans="1:18" x14ac:dyDescent="0.25">
      <c r="A10" t="s">
        <v>31</v>
      </c>
      <c r="B10" s="26">
        <f>(B6+B9)/2</f>
        <v>306.5</v>
      </c>
      <c r="C10" s="26">
        <f>(C6+C9)/2</f>
        <v>319.24</v>
      </c>
      <c r="D10" s="26">
        <f t="shared" ref="D10:M10" si="2">(D6+D9)/2</f>
        <v>331.47040000000004</v>
      </c>
      <c r="E10" s="26">
        <f t="shared" si="2"/>
        <v>343.21158400000002</v>
      </c>
      <c r="F10" s="26">
        <f t="shared" si="2"/>
        <v>354.48312064000004</v>
      </c>
      <c r="G10" s="26">
        <f t="shared" si="2"/>
        <v>365.30379581440002</v>
      </c>
      <c r="H10" s="26">
        <f t="shared" si="2"/>
        <v>375.69164398182403</v>
      </c>
      <c r="I10" s="26">
        <f t="shared" si="2"/>
        <v>385.66397822255107</v>
      </c>
      <c r="J10" s="26">
        <f t="shared" si="2"/>
        <v>395.23741909364901</v>
      </c>
      <c r="K10" s="26">
        <f t="shared" si="2"/>
        <v>404.42792232990308</v>
      </c>
      <c r="L10" s="26">
        <f t="shared" si="2"/>
        <v>413.25080543670697</v>
      </c>
      <c r="M10" s="26">
        <f t="shared" si="2"/>
        <v>421.72077321923871</v>
      </c>
      <c r="N10" s="26">
        <f>(N6+N9)/2</f>
        <v>362.93466443391287</v>
      </c>
      <c r="O10" s="26">
        <f>(O6+O9)/2</f>
        <v>473.66068993954752</v>
      </c>
      <c r="P10" s="26">
        <f>(P6+P9)/2</f>
        <v>546.3035587685647</v>
      </c>
    </row>
    <row r="12" spans="1:18" x14ac:dyDescent="0.25">
      <c r="A12" s="1" t="s">
        <v>194</v>
      </c>
    </row>
    <row r="13" spans="1:18" x14ac:dyDescent="0.25">
      <c r="A13" t="s">
        <v>32</v>
      </c>
      <c r="B13" s="19">
        <f>B10*Assumptions!$B$7</f>
        <v>27278.5</v>
      </c>
      <c r="C13" s="19">
        <f>C10*Assumptions!$B$7</f>
        <v>28412.36</v>
      </c>
      <c r="D13" s="19">
        <f>D10*Assumptions!$B$7</f>
        <v>29500.865600000005</v>
      </c>
      <c r="E13" s="19">
        <f>E10*Assumptions!$B$7</f>
        <v>30545.830976000001</v>
      </c>
      <c r="F13" s="19">
        <f>F10*Assumptions!$B$7</f>
        <v>31548.997736960002</v>
      </c>
      <c r="G13" s="19">
        <f>G10*Assumptions!$B$7</f>
        <v>32512.037827481603</v>
      </c>
      <c r="H13" s="19">
        <f>H10*Assumptions!$B$7</f>
        <v>33436.556314382338</v>
      </c>
      <c r="I13" s="19">
        <f>I10*Assumptions!$B$7</f>
        <v>34324.094061807045</v>
      </c>
      <c r="J13" s="19">
        <f>J10*Assumptions!$B$7</f>
        <v>35176.130299334764</v>
      </c>
      <c r="K13" s="19">
        <f>K10*Assumptions!$B$7</f>
        <v>35994.085087361374</v>
      </c>
      <c r="L13" s="19">
        <f>L10*Assumptions!$B$7</f>
        <v>36779.321683866918</v>
      </c>
      <c r="M13" s="19">
        <f>M10*Assumptions!$B$7</f>
        <v>37533.148816512243</v>
      </c>
      <c r="N13" s="27">
        <f>SUM(B13:M13)</f>
        <v>393041.92840370629</v>
      </c>
      <c r="O13" s="19">
        <f>O10*Assumptions!$B$7*(1+Assumptions!$B$8)*12</f>
        <v>531163.09769820853</v>
      </c>
      <c r="P13" s="19">
        <f>P10*Assumptions!$B$7*(1+Assumptions!$B$8)^2*12</f>
        <v>643256.05134322192</v>
      </c>
    </row>
    <row r="14" spans="1:18" x14ac:dyDescent="0.25">
      <c r="A14" t="s">
        <v>33</v>
      </c>
      <c r="B14" s="19">
        <f>B10*Assumptions!$B$16</f>
        <v>3678</v>
      </c>
      <c r="C14" s="19">
        <f>C10*Assumptions!$B$16</f>
        <v>3830.88</v>
      </c>
      <c r="D14" s="19">
        <f>D10*Assumptions!$B$16</f>
        <v>3977.6448000000005</v>
      </c>
      <c r="E14" s="19">
        <f>E10*Assumptions!$B$16</f>
        <v>4118.5390079999997</v>
      </c>
      <c r="F14" s="19">
        <f>F10*Assumptions!$B$16</f>
        <v>4253.7974476800009</v>
      </c>
      <c r="G14" s="19">
        <f>G10*Assumptions!$B$16</f>
        <v>4383.6455497728002</v>
      </c>
      <c r="H14" s="19">
        <f>H10*Assumptions!$B$16</f>
        <v>4508.2997277818886</v>
      </c>
      <c r="I14" s="19">
        <f>I10*Assumptions!$B$16</f>
        <v>4627.9677386706126</v>
      </c>
      <c r="J14" s="19">
        <f>J10*Assumptions!$B$16</f>
        <v>4742.8490291237886</v>
      </c>
      <c r="K14" s="19">
        <f>K10*Assumptions!$B$16</f>
        <v>4853.1350679588368</v>
      </c>
      <c r="L14" s="19">
        <f>L10*Assumptions!$B$16</f>
        <v>4959.0096652404836</v>
      </c>
      <c r="M14" s="19">
        <f>M10*Assumptions!$B$16</f>
        <v>5060.6492786308645</v>
      </c>
      <c r="N14" s="27">
        <f>SUM(B14:M14)</f>
        <v>52994.417312859274</v>
      </c>
      <c r="O14" s="19">
        <f>O10*Assumptions!$B$16*12</f>
        <v>68207.139351294842</v>
      </c>
      <c r="P14" s="19">
        <f>P10*Assumptions!$B$16*12</f>
        <v>78667.712462673313</v>
      </c>
    </row>
    <row r="15" spans="1:18" x14ac:dyDescent="0.25">
      <c r="A15" s="1" t="s">
        <v>34</v>
      </c>
      <c r="B15" s="27">
        <f>B13-B14</f>
        <v>23600.5</v>
      </c>
      <c r="C15" s="27">
        <f t="shared" ref="C15:M15" si="3">C13-C14</f>
        <v>24581.48</v>
      </c>
      <c r="D15" s="27">
        <f t="shared" si="3"/>
        <v>25523.220800000003</v>
      </c>
      <c r="E15" s="27">
        <f t="shared" si="3"/>
        <v>26427.291968000001</v>
      </c>
      <c r="F15" s="27">
        <f t="shared" si="3"/>
        <v>27295.200289280001</v>
      </c>
      <c r="G15" s="27">
        <f t="shared" si="3"/>
        <v>28128.392277708801</v>
      </c>
      <c r="H15" s="27">
        <f t="shared" si="3"/>
        <v>28928.256586600452</v>
      </c>
      <c r="I15" s="27">
        <f t="shared" si="3"/>
        <v>29696.126323136432</v>
      </c>
      <c r="J15" s="27">
        <f t="shared" si="3"/>
        <v>30433.281270210973</v>
      </c>
      <c r="K15" s="27">
        <f t="shared" si="3"/>
        <v>31140.950019402539</v>
      </c>
      <c r="L15" s="27">
        <f t="shared" si="3"/>
        <v>31820.312018626435</v>
      </c>
      <c r="M15" s="27">
        <f t="shared" si="3"/>
        <v>32472.499537881376</v>
      </c>
      <c r="N15" s="27">
        <f>N13-N14</f>
        <v>340047.51109084702</v>
      </c>
      <c r="O15" s="27">
        <f t="shared" ref="O15" si="4">O13-O14</f>
        <v>462955.95834691369</v>
      </c>
      <c r="P15" s="27">
        <f>P13-P14</f>
        <v>564588.3388805486</v>
      </c>
    </row>
    <row r="16" spans="1:18" x14ac:dyDescent="0.25">
      <c r="A16" t="s">
        <v>195</v>
      </c>
      <c r="B16" s="28">
        <f>B15/B13</f>
        <v>0.8651685393258427</v>
      </c>
      <c r="C16" s="28">
        <f t="shared" ref="C16:P16" si="5">C15/C13</f>
        <v>0.8651685393258427</v>
      </c>
      <c r="D16" s="28">
        <f t="shared" si="5"/>
        <v>0.8651685393258427</v>
      </c>
      <c r="E16" s="28">
        <f t="shared" si="5"/>
        <v>0.8651685393258427</v>
      </c>
      <c r="F16" s="28">
        <f t="shared" si="5"/>
        <v>0.8651685393258427</v>
      </c>
      <c r="G16" s="28">
        <f>G15/G13</f>
        <v>0.8651685393258427</v>
      </c>
      <c r="H16" s="28">
        <f t="shared" si="5"/>
        <v>0.8651685393258427</v>
      </c>
      <c r="I16" s="28">
        <f t="shared" si="5"/>
        <v>0.8651685393258427</v>
      </c>
      <c r="J16" s="28">
        <f t="shared" si="5"/>
        <v>0.86516853932584259</v>
      </c>
      <c r="K16" s="28">
        <f t="shared" si="5"/>
        <v>0.8651685393258427</v>
      </c>
      <c r="L16" s="28">
        <f t="shared" si="5"/>
        <v>0.8651685393258427</v>
      </c>
      <c r="M16" s="28">
        <f t="shared" si="5"/>
        <v>0.86516853932584259</v>
      </c>
      <c r="N16" s="28">
        <f t="shared" si="5"/>
        <v>0.8651685393258427</v>
      </c>
      <c r="O16" s="28">
        <f t="shared" si="5"/>
        <v>0.8715890850722311</v>
      </c>
      <c r="P16" s="28">
        <f t="shared" si="5"/>
        <v>0.8777038905449821</v>
      </c>
    </row>
    <row r="18" spans="1:18" x14ac:dyDescent="0.25">
      <c r="A18" s="1" t="s">
        <v>196</v>
      </c>
    </row>
    <row r="19" spans="1:18" x14ac:dyDescent="0.25">
      <c r="A19" s="5" t="s">
        <v>35</v>
      </c>
      <c r="B19" s="19">
        <f>Assumptions!$B$11</f>
        <v>8500</v>
      </c>
      <c r="C19" s="19">
        <f>Assumptions!$B$11</f>
        <v>8500</v>
      </c>
      <c r="D19" s="19">
        <f>Assumptions!$B$11</f>
        <v>8500</v>
      </c>
      <c r="E19" s="19">
        <f>Assumptions!$B$11</f>
        <v>8500</v>
      </c>
      <c r="F19" s="19">
        <f>Assumptions!$B$11</f>
        <v>8500</v>
      </c>
      <c r="G19" s="19">
        <f>Assumptions!$B$11</f>
        <v>8500</v>
      </c>
      <c r="H19" s="19">
        <f>Assumptions!$B$11</f>
        <v>8500</v>
      </c>
      <c r="I19" s="19">
        <f>Assumptions!$B$11</f>
        <v>8500</v>
      </c>
      <c r="J19" s="19">
        <f>Assumptions!$B$11</f>
        <v>8500</v>
      </c>
      <c r="K19" s="19">
        <f>Assumptions!$B$11</f>
        <v>8500</v>
      </c>
      <c r="L19" s="19">
        <f>Assumptions!$B$11</f>
        <v>8500</v>
      </c>
      <c r="M19" s="19">
        <f>Assumptions!$B$11</f>
        <v>8500</v>
      </c>
      <c r="N19" s="27">
        <f>SUM(B19:M19)</f>
        <v>102000</v>
      </c>
      <c r="O19" s="19">
        <f>Assumptions!$B$11*12</f>
        <v>102000</v>
      </c>
      <c r="P19" s="19">
        <f>Assumptions!$B$11*12</f>
        <v>102000</v>
      </c>
    </row>
    <row r="20" spans="1:18" x14ac:dyDescent="0.25">
      <c r="A20" s="5" t="s">
        <v>36</v>
      </c>
      <c r="B20" s="19">
        <f>Assumptions!$B$12</f>
        <v>18000</v>
      </c>
      <c r="C20" s="19">
        <f>Assumptions!$B$12</f>
        <v>18000</v>
      </c>
      <c r="D20" s="19">
        <f>Assumptions!$B$12</f>
        <v>18000</v>
      </c>
      <c r="E20" s="19">
        <f>Assumptions!$B$12</f>
        <v>18000</v>
      </c>
      <c r="F20" s="19">
        <f>Assumptions!$B$12</f>
        <v>18000</v>
      </c>
      <c r="G20" s="19">
        <f>Assumptions!$B$12</f>
        <v>18000</v>
      </c>
      <c r="H20" s="19">
        <f>Assumptions!$B$12</f>
        <v>18000</v>
      </c>
      <c r="I20" s="19">
        <f>Assumptions!$B$12</f>
        <v>18000</v>
      </c>
      <c r="J20" s="19">
        <f>Assumptions!$B$12</f>
        <v>18000</v>
      </c>
      <c r="K20" s="19">
        <f>Assumptions!$B$12</f>
        <v>18000</v>
      </c>
      <c r="L20" s="19">
        <f>Assumptions!$B$12</f>
        <v>18000</v>
      </c>
      <c r="M20" s="19">
        <f>Assumptions!$B$12</f>
        <v>18000</v>
      </c>
      <c r="N20" s="27">
        <f>SUM(B20:M20)</f>
        <v>216000</v>
      </c>
      <c r="O20" s="19">
        <f>Assumptions!$B$12*12</f>
        <v>216000</v>
      </c>
      <c r="P20" s="19">
        <f>Assumptions!$B$12*12</f>
        <v>216000</v>
      </c>
    </row>
    <row r="21" spans="1:18" x14ac:dyDescent="0.25">
      <c r="A21" s="5" t="s">
        <v>37</v>
      </c>
      <c r="B21" s="19">
        <f>Assumptions!$B$13</f>
        <v>2200</v>
      </c>
      <c r="C21" s="19">
        <f>Assumptions!$B$13</f>
        <v>2200</v>
      </c>
      <c r="D21" s="19">
        <f>Assumptions!$B$13</f>
        <v>2200</v>
      </c>
      <c r="E21" s="19">
        <f>Assumptions!$B$13</f>
        <v>2200</v>
      </c>
      <c r="F21" s="19">
        <f>Assumptions!$B$13</f>
        <v>2200</v>
      </c>
      <c r="G21" s="19">
        <f>Assumptions!$B$13</f>
        <v>2200</v>
      </c>
      <c r="H21" s="19">
        <f>Assumptions!$B$13</f>
        <v>2200</v>
      </c>
      <c r="I21" s="19">
        <f>Assumptions!$B$13</f>
        <v>2200</v>
      </c>
      <c r="J21" s="19">
        <f>Assumptions!$B$13</f>
        <v>2200</v>
      </c>
      <c r="K21" s="19">
        <f>Assumptions!$B$13</f>
        <v>2200</v>
      </c>
      <c r="L21" s="19">
        <f>Assumptions!$B$13</f>
        <v>2200</v>
      </c>
      <c r="M21" s="19">
        <f>Assumptions!$B$13</f>
        <v>2200</v>
      </c>
      <c r="N21" s="27">
        <f>SUM(B21:M21)</f>
        <v>26400</v>
      </c>
      <c r="O21" s="19">
        <f>Assumptions!$B$13*12</f>
        <v>26400</v>
      </c>
      <c r="P21" s="19">
        <f>Assumptions!$B$13*12</f>
        <v>26400</v>
      </c>
    </row>
    <row r="22" spans="1:18" x14ac:dyDescent="0.25">
      <c r="A22" s="5" t="s">
        <v>38</v>
      </c>
      <c r="B22" s="19">
        <f>Assumptions!$B$14</f>
        <v>3500</v>
      </c>
      <c r="C22" s="19">
        <f>Assumptions!$B$14</f>
        <v>3500</v>
      </c>
      <c r="D22" s="19">
        <f>Assumptions!$B$14</f>
        <v>3500</v>
      </c>
      <c r="E22" s="19">
        <f>Assumptions!$B$14</f>
        <v>3500</v>
      </c>
      <c r="F22" s="19">
        <f>Assumptions!$B$14</f>
        <v>3500</v>
      </c>
      <c r="G22" s="19">
        <f>Assumptions!$B$14</f>
        <v>3500</v>
      </c>
      <c r="H22" s="19">
        <f>Assumptions!$B$14</f>
        <v>3500</v>
      </c>
      <c r="I22" s="19">
        <f>Assumptions!$B$14</f>
        <v>3500</v>
      </c>
      <c r="J22" s="19">
        <f>Assumptions!$B$14</f>
        <v>3500</v>
      </c>
      <c r="K22" s="19">
        <f>Assumptions!$B$14</f>
        <v>3500</v>
      </c>
      <c r="L22" s="19">
        <f>Assumptions!$B$14</f>
        <v>3500</v>
      </c>
      <c r="M22" s="19">
        <f>Assumptions!$B$14</f>
        <v>3500</v>
      </c>
      <c r="N22" s="27">
        <f t="shared" ref="N22:N23" si="6">SUM(B22:M22)</f>
        <v>42000</v>
      </c>
      <c r="O22" s="19">
        <f>Assumptions!$B$14*12</f>
        <v>42000</v>
      </c>
      <c r="P22" s="19">
        <f>Assumptions!$B$14*12</f>
        <v>42000</v>
      </c>
    </row>
    <row r="23" spans="1:18" x14ac:dyDescent="0.25">
      <c r="A23" s="5" t="s">
        <v>39</v>
      </c>
      <c r="B23" s="19">
        <f>Assumptions!$B$15</f>
        <v>2800</v>
      </c>
      <c r="C23" s="19">
        <f>Assumptions!$B$15</f>
        <v>2800</v>
      </c>
      <c r="D23" s="19">
        <f>Assumptions!$B$15</f>
        <v>2800</v>
      </c>
      <c r="E23" s="19">
        <f>Assumptions!$B$15</f>
        <v>2800</v>
      </c>
      <c r="F23" s="19">
        <f>Assumptions!$B$15</f>
        <v>2800</v>
      </c>
      <c r="G23" s="19">
        <f>Assumptions!$B$15</f>
        <v>2800</v>
      </c>
      <c r="H23" s="19">
        <f>Assumptions!$B$15</f>
        <v>2800</v>
      </c>
      <c r="I23" s="19">
        <f>Assumptions!$B$15</f>
        <v>2800</v>
      </c>
      <c r="J23" s="19">
        <f>Assumptions!$B$15</f>
        <v>2800</v>
      </c>
      <c r="K23" s="19">
        <f>Assumptions!$B$15</f>
        <v>2800</v>
      </c>
      <c r="L23" s="19">
        <f>Assumptions!$B$15</f>
        <v>2800</v>
      </c>
      <c r="M23" s="19">
        <f>Assumptions!$B$15</f>
        <v>2800</v>
      </c>
      <c r="N23" s="27">
        <f t="shared" si="6"/>
        <v>33600</v>
      </c>
      <c r="O23" s="19">
        <f>Assumptions!$B$15*12</f>
        <v>33600</v>
      </c>
      <c r="P23" s="19">
        <f>Assumptions!$B$15*12</f>
        <v>33600</v>
      </c>
    </row>
    <row r="24" spans="1:18" x14ac:dyDescent="0.25">
      <c r="A24" t="s">
        <v>40</v>
      </c>
      <c r="B24" s="27">
        <f>SUM(B19:B23)</f>
        <v>35000</v>
      </c>
      <c r="C24" s="27">
        <f t="shared" ref="C24:P24" si="7">SUM(C19:C23)</f>
        <v>35000</v>
      </c>
      <c r="D24" s="27">
        <f t="shared" si="7"/>
        <v>35000</v>
      </c>
      <c r="E24" s="27">
        <f t="shared" si="7"/>
        <v>35000</v>
      </c>
      <c r="F24" s="27">
        <f t="shared" si="7"/>
        <v>35000</v>
      </c>
      <c r="G24" s="27">
        <f t="shared" si="7"/>
        <v>35000</v>
      </c>
      <c r="H24" s="27">
        <f t="shared" si="7"/>
        <v>35000</v>
      </c>
      <c r="I24" s="27">
        <f t="shared" si="7"/>
        <v>35000</v>
      </c>
      <c r="J24" s="27">
        <f t="shared" si="7"/>
        <v>35000</v>
      </c>
      <c r="K24" s="27">
        <f t="shared" si="7"/>
        <v>35000</v>
      </c>
      <c r="L24" s="27">
        <f t="shared" si="7"/>
        <v>35000</v>
      </c>
      <c r="M24" s="27">
        <f t="shared" si="7"/>
        <v>35000</v>
      </c>
      <c r="N24" s="27">
        <f t="shared" si="7"/>
        <v>420000</v>
      </c>
      <c r="O24" s="27">
        <f t="shared" si="7"/>
        <v>420000</v>
      </c>
      <c r="P24" s="27">
        <f t="shared" si="7"/>
        <v>420000</v>
      </c>
    </row>
    <row r="26" spans="1:18" x14ac:dyDescent="0.25">
      <c r="A26" s="1" t="s">
        <v>41</v>
      </c>
      <c r="B26" s="27">
        <f>B15-B24</f>
        <v>-11399.5</v>
      </c>
      <c r="C26" s="27">
        <f t="shared" ref="C26:P26" si="8">C15-C24</f>
        <v>-10418.52</v>
      </c>
      <c r="D26" s="27">
        <f t="shared" si="8"/>
        <v>-9476.7791999999972</v>
      </c>
      <c r="E26" s="27">
        <f t="shared" si="8"/>
        <v>-8572.7080319999986</v>
      </c>
      <c r="F26" s="27">
        <f t="shared" si="8"/>
        <v>-7704.799710719999</v>
      </c>
      <c r="G26" s="27">
        <f t="shared" si="8"/>
        <v>-6871.607722291199</v>
      </c>
      <c r="H26" s="27">
        <f t="shared" si="8"/>
        <v>-6071.7434133995484</v>
      </c>
      <c r="I26" s="27">
        <f t="shared" si="8"/>
        <v>-5303.8736768635681</v>
      </c>
      <c r="J26" s="27">
        <f t="shared" si="8"/>
        <v>-4566.7187297890268</v>
      </c>
      <c r="K26" s="27">
        <f t="shared" si="8"/>
        <v>-3859.0499805974614</v>
      </c>
      <c r="L26" s="27">
        <f t="shared" si="8"/>
        <v>-3179.687981373565</v>
      </c>
      <c r="M26" s="27">
        <f t="shared" si="8"/>
        <v>-2527.5004621186235</v>
      </c>
      <c r="N26" s="27">
        <f t="shared" si="8"/>
        <v>-79952.488909152977</v>
      </c>
      <c r="O26" s="27">
        <f t="shared" si="8"/>
        <v>42955.958346913685</v>
      </c>
      <c r="P26" s="27">
        <f t="shared" si="8"/>
        <v>144588.3388805486</v>
      </c>
    </row>
    <row r="27" spans="1:18" x14ac:dyDescent="0.25">
      <c r="A27" t="s">
        <v>22</v>
      </c>
      <c r="B27" s="19">
        <f>Assumptions!$B$29/12</f>
        <v>1583.3333333333333</v>
      </c>
      <c r="C27" s="19">
        <f>Assumptions!$B$29/12</f>
        <v>1583.3333333333333</v>
      </c>
      <c r="D27" s="19">
        <f>Assumptions!$B$29/12</f>
        <v>1583.3333333333333</v>
      </c>
      <c r="E27" s="19">
        <f>Assumptions!$B$29/12</f>
        <v>1583.3333333333333</v>
      </c>
      <c r="F27" s="19">
        <f>Assumptions!$B$29/12</f>
        <v>1583.3333333333333</v>
      </c>
      <c r="G27" s="19">
        <f>Assumptions!$B$29/12</f>
        <v>1583.3333333333333</v>
      </c>
      <c r="H27" s="19">
        <f>Assumptions!$B$29/12</f>
        <v>1583.3333333333333</v>
      </c>
      <c r="I27" s="19">
        <f>Assumptions!$B$29/12</f>
        <v>1583.3333333333333</v>
      </c>
      <c r="J27" s="19">
        <f>Assumptions!$B$29/12</f>
        <v>1583.3333333333333</v>
      </c>
      <c r="K27" s="19">
        <f>Assumptions!$B$29/12</f>
        <v>1583.3333333333333</v>
      </c>
      <c r="L27" s="19">
        <f>Assumptions!$B$29/12</f>
        <v>1583.3333333333333</v>
      </c>
      <c r="M27" s="19">
        <f>Assumptions!$B$29/12</f>
        <v>1583.3333333333333</v>
      </c>
      <c r="N27" s="19">
        <f>Assumptions!$B$29</f>
        <v>19000</v>
      </c>
      <c r="O27" s="19">
        <f>Assumptions!$B$29</f>
        <v>19000</v>
      </c>
      <c r="P27" s="19">
        <f>Assumptions!$B$29</f>
        <v>19000</v>
      </c>
    </row>
    <row r="28" spans="1:18" x14ac:dyDescent="0.25">
      <c r="A28" s="1" t="s">
        <v>197</v>
      </c>
      <c r="B28" s="27">
        <f>B26-B27</f>
        <v>-12982.833333333334</v>
      </c>
      <c r="C28" s="27">
        <f t="shared" ref="C28:P28" si="9">C26-C27</f>
        <v>-12001.853333333334</v>
      </c>
      <c r="D28" s="27">
        <f t="shared" si="9"/>
        <v>-11060.112533333331</v>
      </c>
      <c r="E28" s="27">
        <f t="shared" si="9"/>
        <v>-10156.041365333333</v>
      </c>
      <c r="F28" s="27">
        <f t="shared" si="9"/>
        <v>-9288.1330440533329</v>
      </c>
      <c r="G28" s="27">
        <f t="shared" si="9"/>
        <v>-8454.941055624533</v>
      </c>
      <c r="H28" s="27">
        <f t="shared" si="9"/>
        <v>-7655.0767467328815</v>
      </c>
      <c r="I28" s="27">
        <f t="shared" si="9"/>
        <v>-6887.2070101969011</v>
      </c>
      <c r="J28" s="27">
        <f t="shared" si="9"/>
        <v>-6150.0520631223599</v>
      </c>
      <c r="K28" s="27">
        <f t="shared" si="9"/>
        <v>-5442.3833139307944</v>
      </c>
      <c r="L28" s="27">
        <f t="shared" si="9"/>
        <v>-4763.021314706898</v>
      </c>
      <c r="M28" s="27">
        <f t="shared" si="9"/>
        <v>-4110.8337954519566</v>
      </c>
      <c r="N28" s="27">
        <f t="shared" si="9"/>
        <v>-98952.488909152977</v>
      </c>
      <c r="O28" s="27">
        <f t="shared" si="9"/>
        <v>23955.958346913685</v>
      </c>
      <c r="P28" s="27">
        <f t="shared" si="9"/>
        <v>125588.3388805486</v>
      </c>
    </row>
    <row r="29" spans="1:18" x14ac:dyDescent="0.25">
      <c r="A29" t="s">
        <v>42</v>
      </c>
      <c r="B29" s="19">
        <f>Assumptions!$B$22*Assumptions!$B$23/12</f>
        <v>400</v>
      </c>
      <c r="C29" s="19">
        <f>Assumptions!$B$22*Assumptions!$B$23/12</f>
        <v>400</v>
      </c>
      <c r="D29" s="19">
        <f>Assumptions!$B$22*Assumptions!$B$23/12</f>
        <v>400</v>
      </c>
      <c r="E29" s="19">
        <f>Assumptions!$B$22*Assumptions!$B$23/12</f>
        <v>400</v>
      </c>
      <c r="F29" s="19">
        <f>Assumptions!$B$22*Assumptions!$B$23/12</f>
        <v>400</v>
      </c>
      <c r="G29" s="19">
        <f>Assumptions!$B$22*Assumptions!$B$23/12</f>
        <v>400</v>
      </c>
      <c r="H29" s="19">
        <f>Assumptions!$B$22*Assumptions!$B$23/12</f>
        <v>400</v>
      </c>
      <c r="I29" s="19">
        <f>Assumptions!$B$22*Assumptions!$B$23/12</f>
        <v>400</v>
      </c>
      <c r="J29" s="19">
        <f>Assumptions!$B$22*Assumptions!$B$23/12</f>
        <v>400</v>
      </c>
      <c r="K29" s="19">
        <f>Assumptions!$B$22*Assumptions!$B$23/12</f>
        <v>400</v>
      </c>
      <c r="L29" s="19">
        <f>Assumptions!$B$22*Assumptions!$B$23/12</f>
        <v>400</v>
      </c>
      <c r="M29" s="19">
        <f>Assumptions!$B$22*Assumptions!$B$23/12</f>
        <v>400</v>
      </c>
      <c r="N29" s="19">
        <f>Assumptions!$B$22*Assumptions!$B$23</f>
        <v>4800</v>
      </c>
      <c r="O29" s="19">
        <f>Assumptions!$B$22*Assumptions!$B$23</f>
        <v>4800</v>
      </c>
      <c r="P29" s="19">
        <f>Assumptions!$B$22*Assumptions!$B$23</f>
        <v>4800</v>
      </c>
      <c r="R29" s="6" t="s">
        <v>46</v>
      </c>
    </row>
    <row r="30" spans="1:18" x14ac:dyDescent="0.25">
      <c r="A30" t="s">
        <v>43</v>
      </c>
      <c r="B30" s="27">
        <f>B28-B29</f>
        <v>-13382.833333333334</v>
      </c>
      <c r="C30" s="27">
        <f t="shared" ref="C30:P30" si="10">C28-C29</f>
        <v>-12401.853333333334</v>
      </c>
      <c r="D30" s="27">
        <f t="shared" si="10"/>
        <v>-11460.112533333331</v>
      </c>
      <c r="E30" s="27">
        <f t="shared" si="10"/>
        <v>-10556.041365333333</v>
      </c>
      <c r="F30" s="27">
        <f t="shared" si="10"/>
        <v>-9688.1330440533329</v>
      </c>
      <c r="G30" s="27">
        <f t="shared" si="10"/>
        <v>-8854.941055624533</v>
      </c>
      <c r="H30" s="27">
        <f t="shared" si="10"/>
        <v>-8055.0767467328815</v>
      </c>
      <c r="I30" s="27">
        <f t="shared" si="10"/>
        <v>-7287.2070101969011</v>
      </c>
      <c r="J30" s="27">
        <f t="shared" si="10"/>
        <v>-6550.0520631223599</v>
      </c>
      <c r="K30" s="27">
        <f t="shared" si="10"/>
        <v>-5842.3833139307944</v>
      </c>
      <c r="L30" s="27">
        <f t="shared" si="10"/>
        <v>-5163.021314706898</v>
      </c>
      <c r="M30" s="27">
        <f t="shared" si="10"/>
        <v>-4510.8337954519566</v>
      </c>
      <c r="N30" s="27">
        <f t="shared" si="10"/>
        <v>-103752.48890915298</v>
      </c>
      <c r="O30" s="27">
        <f t="shared" si="10"/>
        <v>19155.958346913685</v>
      </c>
      <c r="P30" s="27">
        <f t="shared" si="10"/>
        <v>120788.3388805486</v>
      </c>
    </row>
    <row r="31" spans="1:18" x14ac:dyDescent="0.25">
      <c r="A31" t="s">
        <v>198</v>
      </c>
      <c r="B31" s="19">
        <f>MAX(B30,0)*Assumptions!$B$24</f>
        <v>0</v>
      </c>
      <c r="C31" s="19">
        <f>MAX(C30,0)*Assumptions!$B$24</f>
        <v>0</v>
      </c>
      <c r="D31" s="19">
        <f>MAX(D30,0)*Assumptions!$B$24</f>
        <v>0</v>
      </c>
      <c r="E31" s="19">
        <f>MAX(E30,0)*Assumptions!$B$24</f>
        <v>0</v>
      </c>
      <c r="F31" s="19">
        <f>MAX(F30,0)*Assumptions!$B$24</f>
        <v>0</v>
      </c>
      <c r="G31" s="19">
        <f>MAX(G30,0)*Assumptions!$B$24</f>
        <v>0</v>
      </c>
      <c r="H31" s="19">
        <f>MAX(H30,0)*Assumptions!$B$24</f>
        <v>0</v>
      </c>
      <c r="I31" s="19">
        <f>MAX(I30,0)*Assumptions!$B$24</f>
        <v>0</v>
      </c>
      <c r="J31" s="19">
        <f>MAX(J30,0)*Assumptions!$B$24</f>
        <v>0</v>
      </c>
      <c r="K31" s="19">
        <f>MAX(K30,0)*Assumptions!$B$24</f>
        <v>0</v>
      </c>
      <c r="L31" s="19">
        <f>MAX(L30,0)*Assumptions!$B$24</f>
        <v>0</v>
      </c>
      <c r="M31" s="19">
        <f>MAX(M30,0)*Assumptions!$B$24</f>
        <v>0</v>
      </c>
      <c r="N31" s="19">
        <f>MAX(N30,0)*Assumptions!$B$24</f>
        <v>0</v>
      </c>
      <c r="O31" s="19">
        <f>MAX(O30,0)*Assumptions!$B$24</f>
        <v>4022.7512528518737</v>
      </c>
      <c r="P31" s="19">
        <f>MAX(P30,0)*Assumptions!$B$24</f>
        <v>25365.551164915207</v>
      </c>
    </row>
    <row r="32" spans="1:18" x14ac:dyDescent="0.25">
      <c r="A32" s="1" t="s">
        <v>44</v>
      </c>
      <c r="B32" s="27">
        <f>B30-B31</f>
        <v>-13382.833333333334</v>
      </c>
      <c r="C32" s="27">
        <f t="shared" ref="C32:P32" si="11">C30-C31</f>
        <v>-12401.853333333334</v>
      </c>
      <c r="D32" s="27">
        <f t="shared" si="11"/>
        <v>-11460.112533333331</v>
      </c>
      <c r="E32" s="27">
        <f t="shared" si="11"/>
        <v>-10556.041365333333</v>
      </c>
      <c r="F32" s="27">
        <f t="shared" si="11"/>
        <v>-9688.1330440533329</v>
      </c>
      <c r="G32" s="27">
        <f t="shared" si="11"/>
        <v>-8854.941055624533</v>
      </c>
      <c r="H32" s="27">
        <f t="shared" si="11"/>
        <v>-8055.0767467328815</v>
      </c>
      <c r="I32" s="27">
        <f t="shared" si="11"/>
        <v>-7287.2070101969011</v>
      </c>
      <c r="J32" s="27">
        <f t="shared" si="11"/>
        <v>-6550.0520631223599</v>
      </c>
      <c r="K32" s="27">
        <f t="shared" si="11"/>
        <v>-5842.3833139307944</v>
      </c>
      <c r="L32" s="27">
        <f t="shared" si="11"/>
        <v>-5163.021314706898</v>
      </c>
      <c r="M32" s="27">
        <f t="shared" si="11"/>
        <v>-4510.8337954519566</v>
      </c>
      <c r="N32" s="27">
        <f t="shared" si="11"/>
        <v>-103752.48890915298</v>
      </c>
      <c r="O32" s="27">
        <f t="shared" si="11"/>
        <v>15133.20709406181</v>
      </c>
      <c r="P32" s="27">
        <f t="shared" si="11"/>
        <v>95422.7877156334</v>
      </c>
    </row>
    <row r="34" spans="1:16" s="7" customFormat="1" x14ac:dyDescent="0.25">
      <c r="A34" s="7" t="s">
        <v>199</v>
      </c>
      <c r="B34" s="29">
        <f>B32/B13</f>
        <v>-0.49060004521265221</v>
      </c>
      <c r="C34" s="29">
        <f t="shared" ref="C34:P34" si="12">C32/C13</f>
        <v>-0.43649500897966004</v>
      </c>
      <c r="D34" s="29">
        <f t="shared" si="12"/>
        <v>-0.38846699241710825</v>
      </c>
      <c r="E34" s="29">
        <f t="shared" si="12"/>
        <v>-0.34558042875400125</v>
      </c>
      <c r="F34" s="29">
        <f t="shared" si="12"/>
        <v>-0.30708211794327706</v>
      </c>
      <c r="G34" s="29">
        <f t="shared" si="12"/>
        <v>-0.27235884451818876</v>
      </c>
      <c r="H34" s="29">
        <f t="shared" si="12"/>
        <v>-0.24090629043841114</v>
      </c>
      <c r="I34" s="29">
        <f t="shared" si="12"/>
        <v>-0.21230588044290119</v>
      </c>
      <c r="J34" s="29">
        <f t="shared" si="12"/>
        <v>-0.18620729475880499</v>
      </c>
      <c r="K34" s="29">
        <f t="shared" si="12"/>
        <v>-0.16231509426481391</v>
      </c>
      <c r="L34" s="29">
        <f t="shared" si="12"/>
        <v>-0.14037837236600353</v>
      </c>
      <c r="M34" s="29">
        <f t="shared" si="12"/>
        <v>-0.12018266353041691</v>
      </c>
      <c r="N34" s="29">
        <f t="shared" si="12"/>
        <v>-0.26397308127031521</v>
      </c>
      <c r="O34" s="29">
        <f t="shared" si="12"/>
        <v>2.8490697414111511E-2</v>
      </c>
      <c r="P34" s="29">
        <f t="shared" si="12"/>
        <v>0.14834339687341502</v>
      </c>
    </row>
    <row r="37" spans="1:16" x14ac:dyDescent="0.25">
      <c r="A37" s="1" t="s">
        <v>181</v>
      </c>
    </row>
    <row r="38" spans="1:16" x14ac:dyDescent="0.25">
      <c r="A38" s="20" t="s">
        <v>182</v>
      </c>
    </row>
    <row r="39" spans="1:16" x14ac:dyDescent="0.25">
      <c r="A39" s="21" t="s">
        <v>183</v>
      </c>
    </row>
    <row r="40" spans="1:16" x14ac:dyDescent="0.25">
      <c r="A40" s="18" t="s">
        <v>184</v>
      </c>
    </row>
    <row r="41" spans="1:16" x14ac:dyDescent="0.25">
      <c r="A41" s="22" t="s">
        <v>185</v>
      </c>
    </row>
    <row r="42" spans="1:16" x14ac:dyDescent="0.25">
      <c r="A42" s="23" t="s">
        <v>186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A03BB-3762-4FDF-AB1F-E261A0903AE9}">
  <dimension ref="A3:E31"/>
  <sheetViews>
    <sheetView topLeftCell="A13" workbookViewId="0">
      <selection activeCell="C25" sqref="C25"/>
    </sheetView>
  </sheetViews>
  <sheetFormatPr defaultRowHeight="15" x14ac:dyDescent="0.25"/>
  <cols>
    <col min="1" max="1" width="32.42578125" customWidth="1"/>
    <col min="2" max="5" width="15.5703125" customWidth="1"/>
  </cols>
  <sheetData>
    <row r="3" spans="1:5" x14ac:dyDescent="0.25">
      <c r="B3" t="s">
        <v>62</v>
      </c>
      <c r="C3" t="s">
        <v>47</v>
      </c>
      <c r="D3" t="s">
        <v>23</v>
      </c>
      <c r="E3" t="s">
        <v>24</v>
      </c>
    </row>
    <row r="5" spans="1:5" x14ac:dyDescent="0.25">
      <c r="A5" s="1" t="s">
        <v>48</v>
      </c>
    </row>
    <row r="6" spans="1:5" x14ac:dyDescent="0.25">
      <c r="A6" t="s">
        <v>49</v>
      </c>
      <c r="B6" s="19">
        <f>Assumptions!$B$21</f>
        <v>40000</v>
      </c>
      <c r="C6" s="19">
        <f>Cash!C22</f>
        <v>-26260.371436913934</v>
      </c>
      <c r="D6" s="19">
        <f>Cash!D22</f>
        <v>-7768.8744396177281</v>
      </c>
      <c r="E6" s="19">
        <f>Cash!E22</f>
        <v>90978.166495512356</v>
      </c>
    </row>
    <row r="7" spans="1:5" x14ac:dyDescent="0.25">
      <c r="A7" t="s">
        <v>50</v>
      </c>
      <c r="B7" s="30">
        <v>0</v>
      </c>
      <c r="C7" s="19">
        <f>'Income Statement'!N13/365*Assumptions!$B$19</f>
        <v>5384.136005530223</v>
      </c>
      <c r="D7" s="19">
        <f>'Income Statement'!O13/365*Assumptions!$B$19</f>
        <v>7276.2068177836782</v>
      </c>
      <c r="E7" s="19">
        <f>'Income Statement'!P13/365*Assumptions!$B$19</f>
        <v>8811.7267307290676</v>
      </c>
    </row>
    <row r="8" spans="1:5" x14ac:dyDescent="0.25">
      <c r="A8" t="s">
        <v>51</v>
      </c>
      <c r="B8" s="19">
        <f>Assumptions!$B$27</f>
        <v>95000</v>
      </c>
      <c r="C8" s="19">
        <f>B8+Assumptions!$B$28-Assumptions!$B$29</f>
        <v>91000</v>
      </c>
      <c r="D8" s="19">
        <f>C8+Assumptions!$B$28-Assumptions!$B$29</f>
        <v>87000</v>
      </c>
      <c r="E8" s="19">
        <f>D8+Assumptions!$B$28-Assumptions!$B$29</f>
        <v>83000</v>
      </c>
    </row>
    <row r="9" spans="1:5" x14ac:dyDescent="0.25">
      <c r="A9" s="1" t="s">
        <v>200</v>
      </c>
      <c r="B9" s="27">
        <f>B6+B7+B8</f>
        <v>135000</v>
      </c>
      <c r="C9" s="27">
        <f>C6+C7+C8</f>
        <v>70123.764568616287</v>
      </c>
      <c r="D9" s="27">
        <f t="shared" ref="D9:E9" si="0">D6+D7+D8</f>
        <v>86507.332378165956</v>
      </c>
      <c r="E9" s="27">
        <f t="shared" si="0"/>
        <v>182789.89322624143</v>
      </c>
    </row>
    <row r="10" spans="1:5" x14ac:dyDescent="0.25">
      <c r="B10" s="31"/>
      <c r="C10" s="31"/>
      <c r="D10" s="31"/>
      <c r="E10" s="31"/>
    </row>
    <row r="11" spans="1:5" x14ac:dyDescent="0.25">
      <c r="A11" s="1" t="s">
        <v>52</v>
      </c>
      <c r="B11" s="31"/>
      <c r="C11" s="31"/>
      <c r="D11" s="31"/>
      <c r="E11" s="31"/>
    </row>
    <row r="12" spans="1:5" x14ac:dyDescent="0.25">
      <c r="A12" t="s">
        <v>61</v>
      </c>
      <c r="B12" s="30">
        <v>0</v>
      </c>
      <c r="C12" s="19">
        <f>('Income Statement'!N14+'Income Statement'!N24)/365*Assumptions!$B$20</f>
        <v>38876.253477769256</v>
      </c>
      <c r="D12" s="19">
        <f>('Income Statement'!O14+'Income Statement'!O24)/365*Assumptions!$B$20</f>
        <v>40126.614193257104</v>
      </c>
      <c r="E12" s="19">
        <f>('Income Statement'!P14+'Income Statement'!P24)/365*Assumptions!$B$20</f>
        <v>40986.387325699172</v>
      </c>
    </row>
    <row r="13" spans="1:5" x14ac:dyDescent="0.25">
      <c r="A13" t="s">
        <v>60</v>
      </c>
      <c r="B13" s="19">
        <f>Assumptions!$B$22</f>
        <v>60000</v>
      </c>
      <c r="C13" s="19">
        <f>Assumptions!$B$22</f>
        <v>60000</v>
      </c>
      <c r="D13" s="19">
        <f>Assumptions!$B$22</f>
        <v>60000</v>
      </c>
      <c r="E13" s="19">
        <f>Assumptions!$B$22</f>
        <v>60000</v>
      </c>
    </row>
    <row r="14" spans="1:5" x14ac:dyDescent="0.25">
      <c r="A14" s="1" t="s">
        <v>53</v>
      </c>
      <c r="B14" s="27">
        <f>B12+B13</f>
        <v>60000</v>
      </c>
      <c r="C14" s="27">
        <f>C12+C13</f>
        <v>98876.253477769264</v>
      </c>
      <c r="D14" s="27">
        <f t="shared" ref="D14:E14" si="1">D12+D13</f>
        <v>100126.6141932571</v>
      </c>
      <c r="E14" s="27">
        <f t="shared" si="1"/>
        <v>100986.38732569918</v>
      </c>
    </row>
    <row r="15" spans="1:5" x14ac:dyDescent="0.25">
      <c r="B15" s="31"/>
      <c r="C15" s="31"/>
      <c r="D15" s="31"/>
      <c r="E15" s="31"/>
    </row>
    <row r="16" spans="1:5" x14ac:dyDescent="0.25">
      <c r="A16" s="1" t="s">
        <v>54</v>
      </c>
      <c r="B16" s="31"/>
      <c r="C16" s="31"/>
      <c r="D16" s="31"/>
      <c r="E16" s="31"/>
    </row>
    <row r="17" spans="1:5" x14ac:dyDescent="0.25">
      <c r="A17" t="s">
        <v>55</v>
      </c>
      <c r="B17" s="27">
        <f>B9-B14-B18</f>
        <v>75000</v>
      </c>
      <c r="C17" s="27">
        <f>B17</f>
        <v>75000</v>
      </c>
      <c r="D17" s="27">
        <f>C17</f>
        <v>75000</v>
      </c>
      <c r="E17" s="27">
        <f>D17</f>
        <v>75000</v>
      </c>
    </row>
    <row r="18" spans="1:5" x14ac:dyDescent="0.25">
      <c r="A18" t="s">
        <v>56</v>
      </c>
      <c r="B18" s="30">
        <v>0</v>
      </c>
      <c r="C18" s="19">
        <f>B18+'Income Statement'!N32</f>
        <v>-103752.48890915298</v>
      </c>
      <c r="D18" s="19">
        <f>C18+'Income Statement'!O32</f>
        <v>-88619.281815091163</v>
      </c>
      <c r="E18" s="19">
        <f>D18+'Income Statement'!P32</f>
        <v>6803.5059005422372</v>
      </c>
    </row>
    <row r="19" spans="1:5" x14ac:dyDescent="0.25">
      <c r="A19" s="1" t="s">
        <v>57</v>
      </c>
      <c r="B19" s="27">
        <f>B17+B18</f>
        <v>75000</v>
      </c>
      <c r="C19" s="27">
        <f>C17 + C18</f>
        <v>-28752.488909152977</v>
      </c>
      <c r="D19" s="27">
        <f t="shared" ref="D19:E19" si="2">D17 + D18</f>
        <v>-13619.281815091163</v>
      </c>
      <c r="E19" s="27">
        <f t="shared" si="2"/>
        <v>81803.505900542237</v>
      </c>
    </row>
    <row r="20" spans="1:5" x14ac:dyDescent="0.25">
      <c r="B20" s="31"/>
      <c r="C20" s="31"/>
      <c r="D20" s="31"/>
      <c r="E20" s="31"/>
    </row>
    <row r="21" spans="1:5" x14ac:dyDescent="0.25">
      <c r="A21" t="s">
        <v>58</v>
      </c>
      <c r="B21" s="27">
        <f>B14+B19</f>
        <v>135000</v>
      </c>
      <c r="C21" s="27">
        <f>C14+C19</f>
        <v>70123.764568616287</v>
      </c>
      <c r="D21" s="27">
        <f t="shared" ref="D21:E21" si="3">D14+D19</f>
        <v>86507.332378165942</v>
      </c>
      <c r="E21" s="27">
        <f t="shared" si="3"/>
        <v>182789.8932262414</v>
      </c>
    </row>
    <row r="22" spans="1:5" x14ac:dyDescent="0.25">
      <c r="B22" s="31"/>
      <c r="C22" s="31"/>
      <c r="D22" s="31"/>
      <c r="E22" s="31"/>
    </row>
    <row r="23" spans="1:5" x14ac:dyDescent="0.25">
      <c r="A23" s="1" t="s">
        <v>59</v>
      </c>
      <c r="B23" s="27">
        <f>ROUND(B9-B21,2)</f>
        <v>0</v>
      </c>
      <c r="C23" s="27">
        <f>ROUND(C9-C21,2)</f>
        <v>0</v>
      </c>
      <c r="D23" s="27">
        <f>ROUND(D9-D21,2)</f>
        <v>0</v>
      </c>
      <c r="E23" s="27">
        <f>ROUND(E9-E21,2)</f>
        <v>0</v>
      </c>
    </row>
    <row r="26" spans="1:5" x14ac:dyDescent="0.25">
      <c r="A26" s="1" t="s">
        <v>181</v>
      </c>
    </row>
    <row r="27" spans="1:5" x14ac:dyDescent="0.25">
      <c r="A27" s="20" t="s">
        <v>182</v>
      </c>
    </row>
    <row r="28" spans="1:5" x14ac:dyDescent="0.25">
      <c r="A28" s="21" t="s">
        <v>183</v>
      </c>
    </row>
    <row r="29" spans="1:5" x14ac:dyDescent="0.25">
      <c r="A29" s="18" t="s">
        <v>184</v>
      </c>
    </row>
    <row r="30" spans="1:5" x14ac:dyDescent="0.25">
      <c r="A30" s="22" t="s">
        <v>185</v>
      </c>
    </row>
    <row r="31" spans="1:5" x14ac:dyDescent="0.25">
      <c r="A31" s="23" t="s">
        <v>186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77254-AF3A-4603-8AFF-439BF43BF259}">
  <dimension ref="A3:E30"/>
  <sheetViews>
    <sheetView topLeftCell="A19" workbookViewId="0">
      <selection activeCell="E22" sqref="E22"/>
    </sheetView>
  </sheetViews>
  <sheetFormatPr defaultRowHeight="15" x14ac:dyDescent="0.25"/>
  <cols>
    <col min="1" max="1" width="32.42578125" customWidth="1"/>
    <col min="2" max="5" width="15.5703125" customWidth="1"/>
  </cols>
  <sheetData>
    <row r="3" spans="1:5" x14ac:dyDescent="0.25">
      <c r="B3" t="s">
        <v>62</v>
      </c>
      <c r="C3" t="s">
        <v>47</v>
      </c>
      <c r="D3" t="s">
        <v>23</v>
      </c>
      <c r="E3" t="s">
        <v>24</v>
      </c>
    </row>
    <row r="5" spans="1:5" x14ac:dyDescent="0.25">
      <c r="A5" s="1" t="s">
        <v>63</v>
      </c>
    </row>
    <row r="6" spans="1:5" x14ac:dyDescent="0.25">
      <c r="A6" t="s">
        <v>44</v>
      </c>
      <c r="C6" s="19">
        <f>'Income Statement'!N32</f>
        <v>-103752.48890915298</v>
      </c>
      <c r="D6" s="19">
        <f>'Income Statement'!O32</f>
        <v>15133.20709406181</v>
      </c>
      <c r="E6" s="19">
        <f>'Income Statement'!P32</f>
        <v>95422.7877156334</v>
      </c>
    </row>
    <row r="7" spans="1:5" x14ac:dyDescent="0.25">
      <c r="A7" t="s">
        <v>64</v>
      </c>
      <c r="C7" s="19">
        <f>'Income Statement'!N27</f>
        <v>19000</v>
      </c>
      <c r="D7" s="19">
        <f>'Income Statement'!O27</f>
        <v>19000</v>
      </c>
      <c r="E7" s="19">
        <f>'Income Statement'!P27</f>
        <v>19000</v>
      </c>
    </row>
    <row r="8" spans="1:5" x14ac:dyDescent="0.25">
      <c r="A8" t="s">
        <v>65</v>
      </c>
      <c r="C8" s="19">
        <f>-('Balance Sheet'!C7-'Balance Sheet'!B7)</f>
        <v>-5384.136005530223</v>
      </c>
      <c r="D8" s="19">
        <f>-('Balance Sheet'!D7-'Balance Sheet'!C7)</f>
        <v>-1892.0708122534552</v>
      </c>
      <c r="E8" s="19">
        <f>-('Balance Sheet'!E7-'Balance Sheet'!D7)</f>
        <v>-1535.5199129453895</v>
      </c>
    </row>
    <row r="9" spans="1:5" x14ac:dyDescent="0.25">
      <c r="A9" t="s">
        <v>66</v>
      </c>
      <c r="C9" s="19">
        <f>'Balance Sheet'!C12-'Balance Sheet'!B12</f>
        <v>38876.253477769256</v>
      </c>
      <c r="D9" s="19">
        <f>'Balance Sheet'!D12-'Balance Sheet'!C12</f>
        <v>1250.3607154878482</v>
      </c>
      <c r="E9" s="19">
        <f>'Balance Sheet'!E12-'Balance Sheet'!D12</f>
        <v>859.77313244206744</v>
      </c>
    </row>
    <row r="10" spans="1:5" x14ac:dyDescent="0.25">
      <c r="A10" t="s">
        <v>67</v>
      </c>
      <c r="C10" s="27">
        <f>SUM(C6:C9)</f>
        <v>-51260.371436913942</v>
      </c>
      <c r="D10" s="27">
        <f t="shared" ref="D10:E10" si="0">SUM(D6:D9)</f>
        <v>33491.496997296206</v>
      </c>
      <c r="E10" s="27">
        <f t="shared" si="0"/>
        <v>113747.04093513009</v>
      </c>
    </row>
    <row r="11" spans="1:5" x14ac:dyDescent="0.25">
      <c r="C11" s="31"/>
      <c r="D11" s="31"/>
      <c r="E11" s="31"/>
    </row>
    <row r="12" spans="1:5" x14ac:dyDescent="0.25">
      <c r="A12" s="1" t="s">
        <v>68</v>
      </c>
      <c r="C12" s="31"/>
      <c r="D12" s="31"/>
      <c r="E12" s="31"/>
    </row>
    <row r="13" spans="1:5" x14ac:dyDescent="0.25">
      <c r="A13" t="s">
        <v>69</v>
      </c>
      <c r="C13" s="19">
        <f>-Assumptions!$B$28</f>
        <v>-15000</v>
      </c>
      <c r="D13" s="19">
        <f>-Assumptions!$B$28</f>
        <v>-15000</v>
      </c>
      <c r="E13" s="19">
        <f>-Assumptions!$B$28</f>
        <v>-15000</v>
      </c>
    </row>
    <row r="14" spans="1:5" x14ac:dyDescent="0.25">
      <c r="A14" t="s">
        <v>70</v>
      </c>
      <c r="C14" s="27">
        <f>C13</f>
        <v>-15000</v>
      </c>
      <c r="D14" s="27">
        <f t="shared" ref="D14:E14" si="1">D13</f>
        <v>-15000</v>
      </c>
      <c r="E14" s="27">
        <f t="shared" si="1"/>
        <v>-15000</v>
      </c>
    </row>
    <row r="15" spans="1:5" x14ac:dyDescent="0.25">
      <c r="C15" s="31"/>
      <c r="D15" s="31"/>
      <c r="E15" s="31"/>
    </row>
    <row r="16" spans="1:5" x14ac:dyDescent="0.25">
      <c r="A16" s="1" t="s">
        <v>71</v>
      </c>
      <c r="C16" s="31"/>
      <c r="D16" s="31"/>
      <c r="E16" s="31"/>
    </row>
    <row r="17" spans="1:5" x14ac:dyDescent="0.25">
      <c r="A17" t="s">
        <v>72</v>
      </c>
      <c r="C17" s="19">
        <f>'Balance Sheet'!C13-'Balance Sheet'!B13</f>
        <v>0</v>
      </c>
      <c r="D17" s="19">
        <f>'Balance Sheet'!D13-'Balance Sheet'!C13</f>
        <v>0</v>
      </c>
      <c r="E17" s="19">
        <f>'Balance Sheet'!E13-'Balance Sheet'!D13</f>
        <v>0</v>
      </c>
    </row>
    <row r="18" spans="1:5" x14ac:dyDescent="0.25">
      <c r="A18" t="s">
        <v>73</v>
      </c>
      <c r="C18" s="27">
        <f>C17</f>
        <v>0</v>
      </c>
      <c r="D18" s="27">
        <f t="shared" ref="D18:E18" si="2">D17</f>
        <v>0</v>
      </c>
      <c r="E18" s="27">
        <f t="shared" si="2"/>
        <v>0</v>
      </c>
    </row>
    <row r="19" spans="1:5" x14ac:dyDescent="0.25">
      <c r="C19" s="31"/>
      <c r="D19" s="31"/>
      <c r="E19" s="31"/>
    </row>
    <row r="20" spans="1:5" x14ac:dyDescent="0.25">
      <c r="A20" t="s">
        <v>74</v>
      </c>
      <c r="C20" s="27">
        <f>C10+C14+C18</f>
        <v>-66260.371436913934</v>
      </c>
      <c r="D20" s="27">
        <f t="shared" ref="D20:E20" si="3">D10+D14+D18</f>
        <v>18491.496997296206</v>
      </c>
      <c r="E20" s="27">
        <f t="shared" si="3"/>
        <v>98747.040935130091</v>
      </c>
    </row>
    <row r="21" spans="1:5" x14ac:dyDescent="0.25">
      <c r="A21" t="s">
        <v>75</v>
      </c>
      <c r="C21" s="19">
        <f>Assumptions!$B$21</f>
        <v>40000</v>
      </c>
      <c r="D21" s="27">
        <f>C22</f>
        <v>-26260.371436913934</v>
      </c>
      <c r="E21" s="27">
        <f>D22</f>
        <v>-7768.8744396177281</v>
      </c>
    </row>
    <row r="22" spans="1:5" x14ac:dyDescent="0.25">
      <c r="A22" t="s">
        <v>76</v>
      </c>
      <c r="C22" s="27">
        <f>C21+C20</f>
        <v>-26260.371436913934</v>
      </c>
      <c r="D22" s="27">
        <f t="shared" ref="D22:E22" si="4">D21+D20</f>
        <v>-7768.8744396177281</v>
      </c>
      <c r="E22" s="27">
        <f t="shared" si="4"/>
        <v>90978.166495512356</v>
      </c>
    </row>
    <row r="25" spans="1:5" x14ac:dyDescent="0.25">
      <c r="A25" s="1" t="s">
        <v>181</v>
      </c>
    </row>
    <row r="26" spans="1:5" x14ac:dyDescent="0.25">
      <c r="A26" s="20" t="s">
        <v>182</v>
      </c>
    </row>
    <row r="27" spans="1:5" x14ac:dyDescent="0.25">
      <c r="A27" s="21" t="s">
        <v>183</v>
      </c>
    </row>
    <row r="28" spans="1:5" x14ac:dyDescent="0.25">
      <c r="A28" s="18" t="s">
        <v>184</v>
      </c>
    </row>
    <row r="29" spans="1:5" x14ac:dyDescent="0.25">
      <c r="A29" s="22" t="s">
        <v>185</v>
      </c>
    </row>
    <row r="30" spans="1:5" x14ac:dyDescent="0.25">
      <c r="A30" s="23" t="s">
        <v>186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124E0-F818-4275-88B4-156EF1709DBB}">
  <dimension ref="A1:B30"/>
  <sheetViews>
    <sheetView topLeftCell="A7" workbookViewId="0">
      <selection activeCell="B10" sqref="B10"/>
    </sheetView>
  </sheetViews>
  <sheetFormatPr defaultRowHeight="15" x14ac:dyDescent="0.25"/>
  <cols>
    <col min="1" max="1" width="36.140625" customWidth="1"/>
  </cols>
  <sheetData>
    <row r="1" spans="1:2" x14ac:dyDescent="0.25">
      <c r="A1" s="1" t="s">
        <v>77</v>
      </c>
    </row>
    <row r="3" spans="1:2" x14ac:dyDescent="0.25">
      <c r="A3" s="1" t="s">
        <v>78</v>
      </c>
    </row>
    <row r="4" spans="1:2" x14ac:dyDescent="0.25">
      <c r="A4" t="s">
        <v>79</v>
      </c>
      <c r="B4" s="19">
        <f>Assumptions!$B$7</f>
        <v>89</v>
      </c>
    </row>
    <row r="5" spans="1:2" x14ac:dyDescent="0.25">
      <c r="A5" t="s">
        <v>80</v>
      </c>
      <c r="B5" s="25">
        <f>1/Assumptions!$B$6</f>
        <v>25</v>
      </c>
    </row>
    <row r="6" spans="1:2" x14ac:dyDescent="0.25">
      <c r="A6" t="s">
        <v>81</v>
      </c>
      <c r="B6" s="27">
        <f>B4*B5</f>
        <v>2225</v>
      </c>
    </row>
    <row r="8" spans="1:2" x14ac:dyDescent="0.25">
      <c r="A8" s="1" t="s">
        <v>82</v>
      </c>
    </row>
    <row r="9" spans="1:2" x14ac:dyDescent="0.25">
      <c r="A9" t="s">
        <v>83</v>
      </c>
      <c r="B9" s="19">
        <f>Assumptions!$B$16</f>
        <v>12</v>
      </c>
    </row>
    <row r="10" spans="1:2" x14ac:dyDescent="0.25">
      <c r="A10" t="s">
        <v>84</v>
      </c>
      <c r="B10" s="27">
        <f>B9*B5</f>
        <v>300</v>
      </c>
    </row>
    <row r="11" spans="1:2" x14ac:dyDescent="0.25">
      <c r="A11" t="s">
        <v>85</v>
      </c>
      <c r="B11" s="27">
        <f>B6-B10</f>
        <v>1925</v>
      </c>
    </row>
    <row r="12" spans="1:2" x14ac:dyDescent="0.25">
      <c r="A12" t="s">
        <v>201</v>
      </c>
      <c r="B12" s="28">
        <f>B11/B6</f>
        <v>0.8651685393258427</v>
      </c>
    </row>
    <row r="14" spans="1:2" x14ac:dyDescent="0.25">
      <c r="A14" s="1" t="s">
        <v>202</v>
      </c>
    </row>
    <row r="15" spans="1:2" x14ac:dyDescent="0.25">
      <c r="A15" t="s">
        <v>86</v>
      </c>
      <c r="B15" s="19">
        <f>Assumptions!$B$14</f>
        <v>3500</v>
      </c>
    </row>
    <row r="16" spans="1:2" x14ac:dyDescent="0.25">
      <c r="A16" t="s">
        <v>88</v>
      </c>
      <c r="B16" s="25">
        <f>Assumptions!$B$5</f>
        <v>25</v>
      </c>
    </row>
    <row r="17" spans="1:2" x14ac:dyDescent="0.25">
      <c r="A17" t="s">
        <v>87</v>
      </c>
      <c r="B17" s="27">
        <f>B15/B16</f>
        <v>140</v>
      </c>
    </row>
    <row r="19" spans="1:2" x14ac:dyDescent="0.25">
      <c r="A19" s="1" t="s">
        <v>89</v>
      </c>
    </row>
    <row r="20" spans="1:2" x14ac:dyDescent="0.25">
      <c r="A20" t="s">
        <v>203</v>
      </c>
      <c r="B20" s="27">
        <f>B11</f>
        <v>1925</v>
      </c>
    </row>
    <row r="21" spans="1:2" x14ac:dyDescent="0.25">
      <c r="A21" t="s">
        <v>90</v>
      </c>
      <c r="B21" s="32">
        <f>B20 / B17</f>
        <v>13.75</v>
      </c>
    </row>
    <row r="22" spans="1:2" x14ac:dyDescent="0.25">
      <c r="A22" t="s">
        <v>91</v>
      </c>
      <c r="B22" s="33">
        <f>B17 / (B4-B9)</f>
        <v>1.8181818181818181</v>
      </c>
    </row>
    <row r="25" spans="1:2" x14ac:dyDescent="0.25">
      <c r="A25" s="1" t="s">
        <v>181</v>
      </c>
    </row>
    <row r="26" spans="1:2" x14ac:dyDescent="0.25">
      <c r="A26" s="20" t="s">
        <v>182</v>
      </c>
    </row>
    <row r="27" spans="1:2" x14ac:dyDescent="0.25">
      <c r="A27" s="21" t="s">
        <v>183</v>
      </c>
    </row>
    <row r="28" spans="1:2" x14ac:dyDescent="0.25">
      <c r="A28" s="18" t="s">
        <v>184</v>
      </c>
    </row>
    <row r="29" spans="1:2" x14ac:dyDescent="0.25">
      <c r="A29" s="22" t="s">
        <v>185</v>
      </c>
    </row>
    <row r="30" spans="1:2" x14ac:dyDescent="0.25">
      <c r="A30" s="23" t="s">
        <v>186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B91CC-72BF-40F5-82F2-7A9A569DFAAB}">
  <dimension ref="A1:K17"/>
  <sheetViews>
    <sheetView topLeftCell="A4" workbookViewId="0">
      <selection activeCell="D16" sqref="D16"/>
    </sheetView>
  </sheetViews>
  <sheetFormatPr defaultRowHeight="15" x14ac:dyDescent="0.25"/>
  <cols>
    <col min="1" max="1" width="9.7109375" bestFit="1" customWidth="1"/>
    <col min="2" max="2" width="18" bestFit="1" customWidth="1"/>
    <col min="3" max="3" width="12.5703125" bestFit="1" customWidth="1"/>
    <col min="4" max="4" width="10.42578125" bestFit="1" customWidth="1"/>
    <col min="5" max="5" width="11.7109375" bestFit="1" customWidth="1"/>
    <col min="6" max="6" width="16.28515625" bestFit="1" customWidth="1"/>
    <col min="7" max="7" width="18.42578125" bestFit="1" customWidth="1"/>
    <col min="8" max="8" width="17.7109375" bestFit="1" customWidth="1"/>
    <col min="10" max="10" width="27.140625" bestFit="1" customWidth="1"/>
  </cols>
  <sheetData>
    <row r="1" spans="1:11" x14ac:dyDescent="0.25">
      <c r="A1" t="s">
        <v>0</v>
      </c>
      <c r="B1" t="s">
        <v>2</v>
      </c>
      <c r="C1" t="s">
        <v>1</v>
      </c>
      <c r="D1" t="s">
        <v>92</v>
      </c>
      <c r="E1" t="s">
        <v>104</v>
      </c>
      <c r="F1" t="s">
        <v>93</v>
      </c>
      <c r="G1" t="s">
        <v>94</v>
      </c>
      <c r="H1" t="s">
        <v>95</v>
      </c>
      <c r="J1" s="1" t="s">
        <v>119</v>
      </c>
    </row>
    <row r="2" spans="1:11" x14ac:dyDescent="0.25">
      <c r="A2" s="34">
        <v>46037</v>
      </c>
      <c r="B2" t="s">
        <v>105</v>
      </c>
      <c r="C2" t="s">
        <v>96</v>
      </c>
      <c r="D2" s="30">
        <v>299</v>
      </c>
      <c r="E2" t="s">
        <v>97</v>
      </c>
      <c r="F2" s="20">
        <v>12</v>
      </c>
      <c r="G2" s="21" t="str">
        <f t="shared" ref="G2:G16" si="0">IF(C2="","",IF(COUNTIF(B:B,B2)&gt;1,"Duplicate Vendor",IF(AND(E2="Yes",D2&gt;500),"High Recurring Cost",IF(D2&gt;AVERAGE(D:D)*2.5,"Spending Spike",""))))</f>
        <v>Duplicate Vendor</v>
      </c>
      <c r="H2" s="27">
        <f t="shared" ref="H2:H16" si="1">IF(C2="","",IF(E2="Yes",D2*F2,D2))</f>
        <v>3588</v>
      </c>
      <c r="J2" t="s">
        <v>120</v>
      </c>
      <c r="K2" s="26">
        <f>COUNTIF(G2:G17,"Duplicate Vendor")+COUNTIF(G2:G17,"High Recurring Cost")+COUNTIF(G2:G17,"Spending Spike")</f>
        <v>6</v>
      </c>
    </row>
    <row r="3" spans="1:11" x14ac:dyDescent="0.25">
      <c r="A3" s="34">
        <v>46037</v>
      </c>
      <c r="B3" t="s">
        <v>106</v>
      </c>
      <c r="C3" t="s">
        <v>96</v>
      </c>
      <c r="D3" s="30">
        <v>279</v>
      </c>
      <c r="E3" t="s">
        <v>97</v>
      </c>
      <c r="F3" s="20">
        <v>12</v>
      </c>
      <c r="G3" s="21" t="str">
        <f t="shared" si="0"/>
        <v/>
      </c>
      <c r="H3" s="27">
        <f t="shared" si="1"/>
        <v>3348</v>
      </c>
      <c r="J3" t="s">
        <v>137</v>
      </c>
      <c r="K3" s="27">
        <f>SUM(H2:H17)</f>
        <v>79126</v>
      </c>
    </row>
    <row r="4" spans="1:11" x14ac:dyDescent="0.25">
      <c r="A4" s="34">
        <v>46038</v>
      </c>
      <c r="B4" t="s">
        <v>107</v>
      </c>
      <c r="C4" t="s">
        <v>96</v>
      </c>
      <c r="D4" s="30">
        <v>27</v>
      </c>
      <c r="E4" t="s">
        <v>97</v>
      </c>
      <c r="F4" s="20">
        <v>12</v>
      </c>
      <c r="G4" s="21" t="str">
        <f t="shared" si="0"/>
        <v/>
      </c>
      <c r="H4" s="27">
        <f t="shared" si="1"/>
        <v>324</v>
      </c>
      <c r="J4" t="s">
        <v>139</v>
      </c>
      <c r="K4" s="27">
        <f>SUMIF(G2:G17,"Duplicate Vendor",H2:H17)+SUMIF(G2:G17,"High Recurring Cost",H2:H17)+SUMIF(G2:G17,"Spending Spike",H2:H17)</f>
        <v>51216</v>
      </c>
    </row>
    <row r="5" spans="1:11" x14ac:dyDescent="0.25">
      <c r="A5" s="34">
        <v>46040</v>
      </c>
      <c r="B5" t="s">
        <v>108</v>
      </c>
      <c r="C5" t="s">
        <v>98</v>
      </c>
      <c r="D5" s="30">
        <v>140</v>
      </c>
      <c r="E5" t="s">
        <v>97</v>
      </c>
      <c r="F5" s="20">
        <v>12</v>
      </c>
      <c r="G5" s="21" t="str">
        <f t="shared" si="0"/>
        <v/>
      </c>
      <c r="H5" s="27">
        <f t="shared" si="1"/>
        <v>1680</v>
      </c>
      <c r="J5" t="s">
        <v>204</v>
      </c>
      <c r="K5" s="27">
        <f>K4*0.6</f>
        <v>30729.599999999999</v>
      </c>
    </row>
    <row r="6" spans="1:11" x14ac:dyDescent="0.25">
      <c r="A6" s="34">
        <v>46042</v>
      </c>
      <c r="B6" t="s">
        <v>109</v>
      </c>
      <c r="C6" t="s">
        <v>100</v>
      </c>
      <c r="D6" s="30">
        <v>850</v>
      </c>
      <c r="E6" t="s">
        <v>101</v>
      </c>
      <c r="F6" s="20">
        <v>1</v>
      </c>
      <c r="G6" s="21" t="str">
        <f t="shared" si="0"/>
        <v/>
      </c>
      <c r="H6" s="27">
        <f t="shared" si="1"/>
        <v>850</v>
      </c>
      <c r="J6" t="s">
        <v>121</v>
      </c>
      <c r="K6" s="29">
        <f>K4/K3</f>
        <v>0.64727144048732399</v>
      </c>
    </row>
    <row r="7" spans="1:11" x14ac:dyDescent="0.25">
      <c r="A7" s="34">
        <v>46044</v>
      </c>
      <c r="B7" t="s">
        <v>110</v>
      </c>
      <c r="C7" t="s">
        <v>38</v>
      </c>
      <c r="D7" s="30">
        <v>400</v>
      </c>
      <c r="E7" t="s">
        <v>97</v>
      </c>
      <c r="F7" s="20">
        <v>12</v>
      </c>
      <c r="G7" s="21" t="str">
        <f t="shared" si="0"/>
        <v/>
      </c>
      <c r="H7" s="27">
        <f t="shared" si="1"/>
        <v>4800</v>
      </c>
    </row>
    <row r="8" spans="1:11" x14ac:dyDescent="0.25">
      <c r="A8" s="34">
        <v>46047</v>
      </c>
      <c r="B8" t="s">
        <v>111</v>
      </c>
      <c r="C8" t="s">
        <v>38</v>
      </c>
      <c r="D8" s="30">
        <v>350</v>
      </c>
      <c r="E8" t="s">
        <v>97</v>
      </c>
      <c r="F8" s="20">
        <v>12</v>
      </c>
      <c r="G8" s="21" t="str">
        <f t="shared" si="0"/>
        <v/>
      </c>
      <c r="H8" s="27">
        <f t="shared" si="1"/>
        <v>4200</v>
      </c>
    </row>
    <row r="9" spans="1:11" x14ac:dyDescent="0.25">
      <c r="A9" s="34">
        <v>46050</v>
      </c>
      <c r="B9" t="s">
        <v>112</v>
      </c>
      <c r="C9" t="s">
        <v>102</v>
      </c>
      <c r="D9" s="30">
        <v>180</v>
      </c>
      <c r="E9" t="s">
        <v>97</v>
      </c>
      <c r="F9" s="20">
        <v>12</v>
      </c>
      <c r="G9" s="21" t="str">
        <f t="shared" si="0"/>
        <v/>
      </c>
      <c r="H9" s="27">
        <f t="shared" si="1"/>
        <v>2160</v>
      </c>
      <c r="J9" s="1" t="s">
        <v>181</v>
      </c>
    </row>
    <row r="10" spans="1:11" x14ac:dyDescent="0.25">
      <c r="A10" s="34">
        <v>46054</v>
      </c>
      <c r="B10" t="s">
        <v>113</v>
      </c>
      <c r="C10" t="s">
        <v>103</v>
      </c>
      <c r="D10" s="30">
        <v>4200</v>
      </c>
      <c r="E10" t="s">
        <v>101</v>
      </c>
      <c r="F10" s="20">
        <v>1</v>
      </c>
      <c r="G10" s="21" t="str">
        <f t="shared" si="0"/>
        <v>Spending Spike</v>
      </c>
      <c r="H10" s="27">
        <f t="shared" si="1"/>
        <v>4200</v>
      </c>
      <c r="J10" s="20" t="s">
        <v>182</v>
      </c>
    </row>
    <row r="11" spans="1:11" x14ac:dyDescent="0.25">
      <c r="A11" s="34">
        <v>46056</v>
      </c>
      <c r="B11" t="s">
        <v>114</v>
      </c>
      <c r="C11" t="s">
        <v>100</v>
      </c>
      <c r="D11" s="30">
        <v>600</v>
      </c>
      <c r="E11" t="s">
        <v>97</v>
      </c>
      <c r="F11" s="20">
        <v>12</v>
      </c>
      <c r="G11" s="21" t="str">
        <f t="shared" si="0"/>
        <v>High Recurring Cost</v>
      </c>
      <c r="H11" s="27">
        <f t="shared" si="1"/>
        <v>7200</v>
      </c>
      <c r="J11" s="21" t="s">
        <v>183</v>
      </c>
    </row>
    <row r="12" spans="1:11" x14ac:dyDescent="0.25">
      <c r="A12" s="34">
        <v>46058</v>
      </c>
      <c r="B12" t="s">
        <v>115</v>
      </c>
      <c r="C12" t="s">
        <v>96</v>
      </c>
      <c r="D12" s="30">
        <v>189</v>
      </c>
      <c r="E12" t="s">
        <v>97</v>
      </c>
      <c r="F12" s="20">
        <v>12</v>
      </c>
      <c r="G12" s="21" t="str">
        <f t="shared" si="0"/>
        <v/>
      </c>
      <c r="H12" s="27">
        <f t="shared" si="1"/>
        <v>2268</v>
      </c>
      <c r="J12" s="18" t="s">
        <v>184</v>
      </c>
    </row>
    <row r="13" spans="1:11" x14ac:dyDescent="0.25">
      <c r="A13" s="34">
        <v>46061</v>
      </c>
      <c r="B13" t="s">
        <v>116</v>
      </c>
      <c r="C13" t="s">
        <v>102</v>
      </c>
      <c r="D13" s="30">
        <v>520</v>
      </c>
      <c r="E13" t="s">
        <v>97</v>
      </c>
      <c r="F13" s="20">
        <v>12</v>
      </c>
      <c r="G13" s="21" t="str">
        <f t="shared" si="0"/>
        <v>High Recurring Cost</v>
      </c>
      <c r="H13" s="27">
        <f t="shared" si="1"/>
        <v>6240</v>
      </c>
      <c r="J13" s="22" t="s">
        <v>185</v>
      </c>
    </row>
    <row r="14" spans="1:11" x14ac:dyDescent="0.25">
      <c r="A14" s="34">
        <v>46063</v>
      </c>
      <c r="B14" t="s">
        <v>117</v>
      </c>
      <c r="C14" t="s">
        <v>38</v>
      </c>
      <c r="D14" s="30">
        <v>380</v>
      </c>
      <c r="E14" t="s">
        <v>97</v>
      </c>
      <c r="F14" s="20">
        <v>12</v>
      </c>
      <c r="G14" s="21" t="str">
        <f t="shared" si="0"/>
        <v/>
      </c>
      <c r="H14" s="27">
        <f t="shared" si="1"/>
        <v>4560</v>
      </c>
      <c r="J14" s="23" t="s">
        <v>186</v>
      </c>
    </row>
    <row r="15" spans="1:11" x14ac:dyDescent="0.25">
      <c r="A15" s="34">
        <v>46065</v>
      </c>
      <c r="B15" t="s">
        <v>118</v>
      </c>
      <c r="C15" t="s">
        <v>98</v>
      </c>
      <c r="D15" s="30">
        <v>310</v>
      </c>
      <c r="E15" t="s">
        <v>97</v>
      </c>
      <c r="F15" s="20">
        <v>12</v>
      </c>
      <c r="G15" s="21" t="str">
        <f t="shared" si="0"/>
        <v/>
      </c>
      <c r="H15" s="27">
        <f t="shared" si="1"/>
        <v>3720</v>
      </c>
    </row>
    <row r="16" spans="1:11" x14ac:dyDescent="0.25">
      <c r="A16" s="34">
        <v>46068</v>
      </c>
      <c r="B16" t="s">
        <v>37</v>
      </c>
      <c r="C16" t="s">
        <v>99</v>
      </c>
      <c r="D16" s="30">
        <v>2200</v>
      </c>
      <c r="E16" t="s">
        <v>97</v>
      </c>
      <c r="F16" s="20">
        <v>12</v>
      </c>
      <c r="G16" s="21" t="str">
        <f t="shared" si="0"/>
        <v>High Recurring Cost</v>
      </c>
      <c r="H16" s="27">
        <f t="shared" si="1"/>
        <v>26400</v>
      </c>
    </row>
    <row r="17" spans="1:8" x14ac:dyDescent="0.25">
      <c r="A17" s="34">
        <v>46073</v>
      </c>
      <c r="B17" t="s">
        <v>105</v>
      </c>
      <c r="C17" t="s">
        <v>96</v>
      </c>
      <c r="D17" s="30">
        <v>299</v>
      </c>
      <c r="E17" t="s">
        <v>97</v>
      </c>
      <c r="F17" s="20">
        <v>12</v>
      </c>
      <c r="G17" s="21" t="str">
        <f>IF(C17="","",IF(COUNTIF(B:B,B17)&gt;1,"Duplicate Vendor",IF(AND(E17="Yes",D17&gt;500),"High Recurring Cost",IF(D17&gt;AVERAGE(D:D)*2.5,"Spending Spike",""))))</f>
        <v>Duplicate Vendor</v>
      </c>
      <c r="H17" s="27">
        <f>IF(C17="","",IF(E17="Yes",D17*F17,D17))</f>
        <v>3588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99416-66C8-4080-B609-D8FBBFD80FEB}">
  <dimension ref="A1:D36"/>
  <sheetViews>
    <sheetView topLeftCell="A2" workbookViewId="0">
      <selection activeCell="D14" sqref="D14"/>
    </sheetView>
  </sheetViews>
  <sheetFormatPr defaultRowHeight="15" x14ac:dyDescent="0.25"/>
  <cols>
    <col min="1" max="1" width="32.42578125" customWidth="1"/>
    <col min="2" max="2" width="15.28515625" customWidth="1"/>
  </cols>
  <sheetData>
    <row r="1" spans="1:4" x14ac:dyDescent="0.25">
      <c r="A1" s="1" t="s">
        <v>122</v>
      </c>
    </row>
    <row r="2" spans="1:4" ht="75" x14ac:dyDescent="0.25">
      <c r="A2" s="8" t="s">
        <v>123</v>
      </c>
    </row>
    <row r="4" spans="1:4" x14ac:dyDescent="0.25">
      <c r="A4" s="1" t="s">
        <v>124</v>
      </c>
      <c r="D4" s="1" t="s">
        <v>181</v>
      </c>
    </row>
    <row r="5" spans="1:4" x14ac:dyDescent="0.25">
      <c r="A5" t="s">
        <v>177</v>
      </c>
      <c r="B5" s="19">
        <f>'Income Statement'!N13</f>
        <v>393041.92840370629</v>
      </c>
      <c r="D5" s="20" t="s">
        <v>182</v>
      </c>
    </row>
    <row r="6" spans="1:4" x14ac:dyDescent="0.25">
      <c r="A6" t="s">
        <v>205</v>
      </c>
      <c r="B6" s="19">
        <f>'Income Statement'!O13</f>
        <v>531163.09769820853</v>
      </c>
      <c r="D6" s="21" t="s">
        <v>183</v>
      </c>
    </row>
    <row r="7" spans="1:4" x14ac:dyDescent="0.25">
      <c r="A7" t="s">
        <v>125</v>
      </c>
      <c r="B7" s="19">
        <f>'Income Statement'!P13</f>
        <v>643256.05134322192</v>
      </c>
      <c r="D7" s="18" t="s">
        <v>184</v>
      </c>
    </row>
    <row r="8" spans="1:4" x14ac:dyDescent="0.25">
      <c r="A8" t="s">
        <v>126</v>
      </c>
      <c r="B8" s="19">
        <f>'Income Statement'!N32</f>
        <v>-103752.48890915298</v>
      </c>
      <c r="D8" s="22" t="s">
        <v>185</v>
      </c>
    </row>
    <row r="9" spans="1:4" x14ac:dyDescent="0.25">
      <c r="A9" t="s">
        <v>127</v>
      </c>
      <c r="B9" s="19">
        <f>'Income Statement'!O32</f>
        <v>15133.20709406181</v>
      </c>
      <c r="D9" s="23" t="s">
        <v>186</v>
      </c>
    </row>
    <row r="10" spans="1:4" x14ac:dyDescent="0.25">
      <c r="A10" t="s">
        <v>128</v>
      </c>
      <c r="B10" s="19">
        <f>'Income Statement'!P32</f>
        <v>95422.7877156334</v>
      </c>
    </row>
    <row r="11" spans="1:4" x14ac:dyDescent="0.25">
      <c r="A11" t="s">
        <v>129</v>
      </c>
      <c r="B11" s="19">
        <f>'Income Statement'!N26</f>
        <v>-79952.488909152977</v>
      </c>
    </row>
    <row r="12" spans="1:4" x14ac:dyDescent="0.25">
      <c r="A12" t="s">
        <v>130</v>
      </c>
      <c r="B12" s="19">
        <f>'Income Statement'!P26</f>
        <v>144588.3388805486</v>
      </c>
    </row>
    <row r="13" spans="1:4" x14ac:dyDescent="0.25">
      <c r="A13" t="s">
        <v>131</v>
      </c>
      <c r="B13" s="19">
        <f>Cash!C22</f>
        <v>-26260.371436913934</v>
      </c>
    </row>
    <row r="14" spans="1:4" x14ac:dyDescent="0.25">
      <c r="B14" s="18"/>
    </row>
    <row r="15" spans="1:4" x14ac:dyDescent="0.25">
      <c r="B15" s="18"/>
    </row>
    <row r="16" spans="1:4" x14ac:dyDescent="0.25">
      <c r="A16" s="1" t="s">
        <v>77</v>
      </c>
      <c r="B16" s="18"/>
    </row>
    <row r="17" spans="1:2" x14ac:dyDescent="0.25">
      <c r="A17" t="s">
        <v>132</v>
      </c>
      <c r="B17" s="25">
        <f>'Unit Economics'!B5</f>
        <v>25</v>
      </c>
    </row>
    <row r="18" spans="1:2" x14ac:dyDescent="0.25">
      <c r="A18" t="s">
        <v>133</v>
      </c>
      <c r="B18" s="19">
        <f>'Unit Economics'!B20</f>
        <v>1925</v>
      </c>
    </row>
    <row r="19" spans="1:2" x14ac:dyDescent="0.25">
      <c r="A19" t="s">
        <v>206</v>
      </c>
      <c r="B19" s="19">
        <f>'Unit Economics'!B17</f>
        <v>140</v>
      </c>
    </row>
    <row r="20" spans="1:2" x14ac:dyDescent="0.25">
      <c r="A20" t="s">
        <v>3</v>
      </c>
      <c r="B20" s="35">
        <f>'Unit Economics'!B21</f>
        <v>13.75</v>
      </c>
    </row>
    <row r="21" spans="1:2" x14ac:dyDescent="0.25">
      <c r="A21" t="s">
        <v>134</v>
      </c>
      <c r="B21" s="36">
        <f>'Unit Economics'!B22</f>
        <v>1.8181818181818181</v>
      </c>
    </row>
    <row r="22" spans="1:2" x14ac:dyDescent="0.25">
      <c r="A22" t="s">
        <v>135</v>
      </c>
      <c r="B22" s="37">
        <f>'Unit Economics'!B12</f>
        <v>0.8651685393258427</v>
      </c>
    </row>
    <row r="23" spans="1:2" x14ac:dyDescent="0.25">
      <c r="B23" s="18"/>
    </row>
    <row r="24" spans="1:2" x14ac:dyDescent="0.25">
      <c r="A24" s="1" t="s">
        <v>136</v>
      </c>
      <c r="B24" s="18"/>
    </row>
    <row r="25" spans="1:2" x14ac:dyDescent="0.25">
      <c r="A25" t="s">
        <v>137</v>
      </c>
      <c r="B25" s="19">
        <f>'Leakage Audit'!K3</f>
        <v>79126</v>
      </c>
    </row>
    <row r="26" spans="1:2" x14ac:dyDescent="0.25">
      <c r="A26" t="s">
        <v>138</v>
      </c>
      <c r="B26" s="25">
        <f>'Leakage Audit'!K2</f>
        <v>6</v>
      </c>
    </row>
    <row r="27" spans="1:2" x14ac:dyDescent="0.25">
      <c r="A27" t="s">
        <v>139</v>
      </c>
      <c r="B27" s="19">
        <f>'Leakage Audit'!K4</f>
        <v>51216</v>
      </c>
    </row>
    <row r="28" spans="1:2" x14ac:dyDescent="0.25">
      <c r="A28" t="s">
        <v>140</v>
      </c>
      <c r="B28" s="19">
        <f>'Leakage Audit'!K5</f>
        <v>30729.599999999999</v>
      </c>
    </row>
    <row r="29" spans="1:2" x14ac:dyDescent="0.25">
      <c r="A29" t="s">
        <v>121</v>
      </c>
      <c r="B29" s="37">
        <f>'Leakage Audit'!K6</f>
        <v>0.64727144048732399</v>
      </c>
    </row>
    <row r="30" spans="1:2" x14ac:dyDescent="0.25">
      <c r="B30" s="18"/>
    </row>
    <row r="31" spans="1:2" x14ac:dyDescent="0.25">
      <c r="A31" s="1" t="s">
        <v>141</v>
      </c>
      <c r="B31" s="18"/>
    </row>
    <row r="32" spans="1:2" x14ac:dyDescent="0.25">
      <c r="A32" t="s">
        <v>5</v>
      </c>
      <c r="B32" s="25">
        <f>Assumptions!B4</f>
        <v>300</v>
      </c>
    </row>
    <row r="33" spans="1:2" x14ac:dyDescent="0.25">
      <c r="A33" t="s">
        <v>6</v>
      </c>
      <c r="B33" s="25">
        <f>Assumptions!B5</f>
        <v>25</v>
      </c>
    </row>
    <row r="34" spans="1:2" x14ac:dyDescent="0.25">
      <c r="A34" t="s">
        <v>4</v>
      </c>
      <c r="B34" s="38">
        <f>Assumptions!B6</f>
        <v>0.04</v>
      </c>
    </row>
    <row r="35" spans="1:2" x14ac:dyDescent="0.25">
      <c r="A35" t="s">
        <v>79</v>
      </c>
      <c r="B35" s="19">
        <f>Assumptions!B7</f>
        <v>89</v>
      </c>
    </row>
    <row r="36" spans="1:2" x14ac:dyDescent="0.25">
      <c r="A36" t="s">
        <v>142</v>
      </c>
      <c r="B36" s="19">
        <f>Assumptions!B11+Assumptions!B12+Assumptions!B13+Assumptions!B14+Assumptions!B15</f>
        <v>35000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448C8-FAC6-4EED-9D1C-0D5BDC82FBCA}">
  <dimension ref="A1:A8"/>
  <sheetViews>
    <sheetView workbookViewId="0"/>
  </sheetViews>
  <sheetFormatPr defaultRowHeight="15" x14ac:dyDescent="0.25"/>
  <cols>
    <col min="1" max="1" width="48.28515625" bestFit="1" customWidth="1"/>
  </cols>
  <sheetData>
    <row r="1" spans="1:1" x14ac:dyDescent="0.25">
      <c r="A1" s="1" t="s">
        <v>207</v>
      </c>
    </row>
    <row r="2" spans="1:1" ht="390" x14ac:dyDescent="0.25">
      <c r="A2" s="8" t="s">
        <v>147</v>
      </c>
    </row>
    <row r="4" spans="1:1" x14ac:dyDescent="0.25">
      <c r="A4" s="1" t="s">
        <v>143</v>
      </c>
    </row>
    <row r="5" spans="1:1" ht="285" x14ac:dyDescent="0.25">
      <c r="A5" s="8" t="s">
        <v>144</v>
      </c>
    </row>
    <row r="7" spans="1:1" x14ac:dyDescent="0.25">
      <c r="A7" s="1" t="s">
        <v>145</v>
      </c>
    </row>
    <row r="8" spans="1:1" ht="225" x14ac:dyDescent="0.25">
      <c r="A8" s="8" t="s">
        <v>146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7342C-BC71-407E-8C80-A76F8037919F}">
  <dimension ref="B2:B22"/>
  <sheetViews>
    <sheetView topLeftCell="A11" zoomScaleNormal="100" workbookViewId="0">
      <selection activeCell="B25" sqref="B25"/>
    </sheetView>
  </sheetViews>
  <sheetFormatPr defaultRowHeight="15" x14ac:dyDescent="0.25"/>
  <cols>
    <col min="1" max="1" width="3.42578125" customWidth="1"/>
    <col min="2" max="2" width="118.140625" customWidth="1"/>
    <col min="3" max="3" width="3.42578125" customWidth="1"/>
  </cols>
  <sheetData>
    <row r="2" spans="2:2" ht="21" x14ac:dyDescent="0.25">
      <c r="B2" s="9" t="s">
        <v>148</v>
      </c>
    </row>
    <row r="3" spans="2:2" x14ac:dyDescent="0.25">
      <c r="B3" s="10"/>
    </row>
    <row r="4" spans="2:2" ht="24" customHeight="1" x14ac:dyDescent="0.25">
      <c r="B4" s="11" t="s">
        <v>149</v>
      </c>
    </row>
    <row r="5" spans="2:2" ht="45" x14ac:dyDescent="0.25">
      <c r="B5" s="12" t="s">
        <v>150</v>
      </c>
    </row>
    <row r="6" spans="2:2" ht="60" x14ac:dyDescent="0.25">
      <c r="B6" s="12" t="s">
        <v>151</v>
      </c>
    </row>
    <row r="7" spans="2:2" x14ac:dyDescent="0.25">
      <c r="B7" s="10"/>
    </row>
    <row r="8" spans="2:2" ht="15.75" x14ac:dyDescent="0.25">
      <c r="B8" s="11" t="s">
        <v>152</v>
      </c>
    </row>
    <row r="9" spans="2:2" ht="30" x14ac:dyDescent="0.25">
      <c r="B9" s="12" t="s">
        <v>153</v>
      </c>
    </row>
    <row r="10" spans="2:2" ht="60" x14ac:dyDescent="0.25">
      <c r="B10" s="12" t="s">
        <v>154</v>
      </c>
    </row>
    <row r="11" spans="2:2" x14ac:dyDescent="0.25">
      <c r="B11" s="10"/>
    </row>
    <row r="12" spans="2:2" ht="15.75" x14ac:dyDescent="0.25">
      <c r="B12" s="11" t="s">
        <v>155</v>
      </c>
    </row>
    <row r="13" spans="2:2" x14ac:dyDescent="0.25">
      <c r="B13" s="13" t="s">
        <v>156</v>
      </c>
    </row>
    <row r="14" spans="2:2" x14ac:dyDescent="0.25">
      <c r="B14" s="12" t="s">
        <v>157</v>
      </c>
    </row>
    <row r="15" spans="2:2" x14ac:dyDescent="0.25">
      <c r="B15" s="12" t="s">
        <v>158</v>
      </c>
    </row>
    <row r="16" spans="2:2" x14ac:dyDescent="0.25">
      <c r="B16" s="12" t="s">
        <v>159</v>
      </c>
    </row>
    <row r="17" spans="2:2" ht="45" x14ac:dyDescent="0.25">
      <c r="B17" s="12" t="s">
        <v>160</v>
      </c>
    </row>
    <row r="18" spans="2:2" x14ac:dyDescent="0.25">
      <c r="B18" s="10"/>
    </row>
    <row r="19" spans="2:2" ht="15.75" x14ac:dyDescent="0.25">
      <c r="B19" s="11" t="s">
        <v>161</v>
      </c>
    </row>
    <row r="20" spans="2:2" ht="30" x14ac:dyDescent="0.25">
      <c r="B20" s="12" t="s">
        <v>162</v>
      </c>
    </row>
    <row r="21" spans="2:2" ht="45" x14ac:dyDescent="0.25">
      <c r="B21" s="12" t="s">
        <v>163</v>
      </c>
    </row>
    <row r="22" spans="2:2" ht="45" x14ac:dyDescent="0.25">
      <c r="B22" s="12" t="s">
        <v>164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BC4E47-091C-4791-B326-30FF688410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Assumptions</vt:lpstr>
      <vt:lpstr>Income Statement</vt:lpstr>
      <vt:lpstr>Balance Sheet</vt:lpstr>
      <vt:lpstr>Cash</vt:lpstr>
      <vt:lpstr>Unit Economics</vt:lpstr>
      <vt:lpstr>Leakage Audit</vt:lpstr>
      <vt:lpstr>AI Feed</vt:lpstr>
      <vt:lpstr>Prompt Library (Ai Prompts)</vt:lpstr>
      <vt:lpstr>Sample Output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Karsten Lats</dc:creator>
  <cp:keywords/>
  <dc:description/>
  <cp:lastModifiedBy>Karsten Latunde</cp:lastModifiedBy>
  <cp:revision/>
  <dcterms:created xsi:type="dcterms:W3CDTF">2026-04-21T08:51:46Z</dcterms:created>
  <dcterms:modified xsi:type="dcterms:W3CDTF">2026-06-22T21:49:33Z</dcterms:modified>
  <cp:category/>
  <cp:contentStatus/>
</cp:coreProperties>
</file>